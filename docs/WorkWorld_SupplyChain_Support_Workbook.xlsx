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39.xml" ContentType="application/vnd.openxmlformats-officedocument.spreadsheetml.worksheet+xml"/>
  <Override PartName="/xl/worksheets/sheet2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28.xml" ContentType="application/vnd.openxmlformats-officedocument.spreadsheetml.worksheet+xml"/>
  <Override PartName="/xl/worksheets/sheet40.xml" ContentType="application/vnd.openxmlformats-officedocument.spreadsheetml.worksheet+xml"/>
  <Override PartName="/xl/worksheets/sheet6.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9.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Module Map" sheetId="2" state="visible" r:id="rId4"/>
    <sheet name="Data Dictionary" sheetId="3" state="visible" r:id="rId5"/>
    <sheet name="Data Sources" sheetId="4" state="visible" r:id="rId6"/>
    <sheet name="dim_store" sheetId="5" state="visible" r:id="rId7"/>
    <sheet name="dim_vendor" sheetId="6" state="visible" r:id="rId8"/>
    <sheet name="vendor_terms" sheetId="7" state="visible" r:id="rId9"/>
    <sheet name="vendor_lead_times" sheetId="8" state="visible" r:id="rId10"/>
    <sheet name="vendor_tier_pricing" sheetId="9" state="visible" r:id="rId11"/>
    <sheet name="vendor_promo_opps" sheetId="10" state="visible" r:id="rId12"/>
    <sheet name="dim_category" sheetId="11" state="visible" r:id="rId13"/>
    <sheet name="dim_style" sheetId="12" state="visible" r:id="rId14"/>
    <sheet name="dim_sku" sheetId="13" state="visible" r:id="rId15"/>
    <sheet name="item_crossref" sheetId="14" state="visible" r:id="rId16"/>
    <sheet name="size_curves" sheetId="15" state="visible" r:id="rId17"/>
    <sheet name="seasonality_curves" sheetId="16" state="visible" r:id="rId18"/>
    <sheet name="product_tags" sheetId="17" state="visible" r:id="rId19"/>
    <sheet name="store_sku_params" sheetId="18" state="visible" r:id="rId20"/>
    <sheet name="price_master" sheetId="19" state="visible" r:id="rId21"/>
    <sheet name="markdown_policy" sheetId="20" state="visible" r:id="rId22"/>
    <sheet name="fact_sales_daily" sheetId="21" state="visible" r:id="rId23"/>
    <sheet name="fact_inventory_daily" sheetId="22" state="visible" r:id="rId24"/>
    <sheet name="po_header" sheetId="23" state="visible" r:id="rId25"/>
    <sheet name="po_line" sheetId="24" state="visible" r:id="rId26"/>
    <sheet name="receiver_header" sheetId="25" state="visible" r:id="rId27"/>
    <sheet name="receiver_line" sheetId="26" state="visible" r:id="rId28"/>
    <sheet name="invoice_header" sheetId="27" state="visible" r:id="rId29"/>
    <sheet name="invoice_line" sheetId="28" state="visible" r:id="rId30"/>
    <sheet name="threeway_match" sheetId="29" state="visible" r:id="rId31"/>
    <sheet name="transfer_orders" sheetId="30" state="visible" r:id="rId32"/>
    <sheet name="vendor_ats" sheetId="31" state="visible" r:id="rId33"/>
    <sheet name="weather_daily" sheetId="32" state="visible" r:id="rId34"/>
    <sheet name="store_traffic_daily" sheetId="33" state="visible" r:id="rId35"/>
    <sheet name="demand_forecast" sheetId="34" state="visible" r:id="rId36"/>
    <sheet name="replen_suggestions" sheetId="35" state="visible" r:id="rId37"/>
    <sheet name="stockout_events" sheetId="36" state="visible" r:id="rId38"/>
    <sheet name="price_change_events" sheetId="37" state="visible" r:id="rId39"/>
    <sheet name="store_tasks" sheetId="38" state="visible" r:id="rId40"/>
    <sheet name="comms_log" sheetId="39" state="visible" r:id="rId41"/>
    <sheet name="experiments" sheetId="40" state="visible" r:id="rId42"/>
  </sheets>
  <definedNames>
    <definedName function="false" hidden="true" localSheetId="2" name="_xlnm._FilterDatabase" vbProcedure="false">'Data Dictionary'!$A$1:$I$309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<sst xmlns="http://schemas.openxmlformats.org/spreadsheetml/2006/main" count="4463" uniqueCount="1296">
  <si>
    <t xml:space="preserve">WorkWorld - Merchandise Planning &amp; Operations Module</t>
  </si>
  <si>
    <t xml:space="preserve">Support Workbook: data model, sources, and sample (dummy) data</t>
  </si>
  <si>
    <t xml:space="preserve">Prepared by SolutionSet - internal planning artifact (not client-facing)</t>
  </si>
  <si>
    <t xml:space="preserve">Basis: 2026-07-14 call with Alex Gart (Gart Companies / WorkWorld) + workworld.com merchandise &amp; vendor research</t>
  </si>
  <si>
    <t xml:space="preserve">HOW TO READ THIS WORKBOOK</t>
  </si>
  <si>
    <t xml:space="preserve">1. 'Module Map' - the application broken into industry-standard functional modules, mapped to user groups, use cases, tables, and value drivers.</t>
  </si>
  <si>
    <t xml:space="preserve">2. 'Data Dictionary' - every table and field, with type, keys, and description.</t>
  </si>
  <si>
    <t xml:space="preserve">3. 'Data Sources' - every source system/feed, its cadence, and whether it is manually managed (flagged).</t>
  </si>
  <si>
    <t xml:space="preserve">4. Remaining tabs - one per table, each populated with dummy data built from WorkWorld's actual brands (Carhartt, Wolverine, Timberland PRO, Dickies, Ariat, KEEN Utility, BRUNT, Thorogood, Georgia Boot, Helly Hansen...) and store geography (NorCal / WA).</t>
  </si>
  <si>
    <t xml:space="preserve">LEGEND</t>
  </si>
  <si>
    <t xml:space="preserve">Orange tab = manually managed / seeded table (housekeeping required, per call: lead times, tier pricing, size curves, tags, opportunity buys)</t>
  </si>
  <si>
    <t xml:space="preserve">Blue tab = reference/dimension  |  Green tab = transactions  |  Purple tab = analytics/computed  |  Teal tab = external signals</t>
  </si>
  <si>
    <t xml:space="preserve">All names, quantities, and dollar values on data tabs are ILLUSTRATIVE DUMMY DATA.</t>
  </si>
  <si>
    <t xml:space="preserve">KEY DESIGN DECISIONS (from the call)</t>
  </si>
  <si>
    <t xml:space="preserve">- 100% direct-to-store: master PO -&gt; per-store mini-POs -&gt; store-level receivers -&gt; master invoice/statement. 3-way match runs at line level.</t>
  </si>
  <si>
    <t xml:space="preserve">- 80% replenishment (min/max) / 20% seasonal. Style -&gt; color -&gt; size grain with embedded size curves and meat-size break detection.</t>
  </si>
  <si>
    <t xml:space="preserve">- Vendor ATS ingestion tiered by vendor sophistication: EDI 846 via SPS Commerce -&gt; portal download -&gt; email/manual.</t>
  </si>
  <si>
    <t xml:space="preserve">- Weather (rain surge) and door traffic as demand signals; product/category tags capture measured weather response.</t>
  </si>
  <si>
    <t xml:space="preserve">- Value drivers: stockout reduction, inventory turns (with diminishing-returns guardrail), markdown optimization, 3-way match recovery.</t>
  </si>
  <si>
    <t xml:space="preserve">#</t>
  </si>
  <si>
    <t xml:space="preserve">Module</t>
  </si>
  <si>
    <t xml:space="preserve">Purpose</t>
  </si>
  <si>
    <t xml:space="preserve">Primary user groups</t>
  </si>
  <si>
    <t xml:space="preserve">Representative use cases</t>
  </si>
  <si>
    <t xml:space="preserve">Key tables</t>
  </si>
  <si>
    <t xml:space="preserve">Value drivers</t>
  </si>
  <si>
    <t xml:space="preserve">Demand Planning</t>
  </si>
  <si>
    <t xml:space="preserve">Forecast unit demand at store x SKU x week, blending sales history, seasonality curves, weather, traffic, and promos.</t>
  </si>
  <si>
    <t xml:space="preserve">Merch planner, Buyer</t>
  </si>
  <si>
    <t xml:space="preserve">Seasonality curves by category; weather-adjusted forecasts (rain surge); forecast accuracy review</t>
  </si>
  <si>
    <t xml:space="preserve">fact_sales_daily, seasonality_curves, weather_daily, store_traffic_daily, demand_forecast, product_tags</t>
  </si>
  <si>
    <t xml:space="preserve">Stockout reduction; markdown avoidance</t>
  </si>
  <si>
    <t xml:space="preserve">Purchase Planning &amp; Replenishment</t>
  </si>
  <si>
    <t xml:space="preserve">Turn forecasts into orders: min/max &amp; ROP management, size-curve-aware replenishment, transfer-first logic, PO consolidation to tier breaks.</t>
  </si>
  <si>
    <t xml:space="preserve">Buyer, Replenishment analyst</t>
  </si>
  <si>
    <t xml:space="preserve">Continuous ROP recalibration (vs 2x/yr today); meat-size break alerts; size rebalancing transfers; roll store needs to master PO</t>
  </si>
  <si>
    <t xml:space="preserve">store_sku_params, size_curves, replen_suggestions, transfer_orders, vendor_lead_times, vendor_tier_pricing</t>
  </si>
  <si>
    <t xml:space="preserve">Stockout reduction; inventory turns</t>
  </si>
  <si>
    <t xml:space="preserve">Vendor Availability &amp; Lead Times</t>
  </si>
  <si>
    <t xml:space="preserve">Ingest vendor ATS (EDI 846/portal/manual) and continuously measure quoted vs actual lead times and fill rates.</t>
  </si>
  <si>
    <t xml:space="preserve">Buyer, Merch ops</t>
  </si>
  <si>
    <t xml:space="preserve">ATS-aware ordering (don't order what the vendor can't ship); backorder visibility; lead-time drift alerts</t>
  </si>
  <si>
    <t xml:space="preserve">vendor_ats, item_crossref, vendor_lead_times, dim_vendor</t>
  </si>
  <si>
    <t xml:space="preserve">Stockout reduction</t>
  </si>
  <si>
    <t xml:space="preserve">Vendor Programs &amp; Opportunity Buys</t>
  </si>
  <si>
    <t xml:space="preserve">Manage tiered pricing breaks, closeouts, SMUs, preseason books; AI evaluates margin uplift vs weeks-of-supply risk.</t>
  </si>
  <si>
    <t xml:space="preserve">Buyer, Merch director</t>
  </si>
  <si>
    <t xml:space="preserve">Coordinate replen orders to hit tier breaks; score closeout offers; SMU program tracking</t>
  </si>
  <si>
    <t xml:space="preserve">vendor_tier_pricing, vendor_promo_opportunities, vendor_terms</t>
  </si>
  <si>
    <t xml:space="preserve">Margin capture; markdown avoidance</t>
  </si>
  <si>
    <t xml:space="preserve">PO Management &amp; 3-Way Reconciliation</t>
  </si>
  <si>
    <t xml:space="preserve">Full PO lifecycle (change/close/cancel) for the direct-to-store master/mini-PO model, with automated 3-way match and root-cause coding.</t>
  </si>
  <si>
    <t xml:space="preserve">AP, Merch ops, Controller</t>
  </si>
  <si>
    <t xml:space="preserve">Auto-clear clean matches; exception queue with AI-suggested resolutions; debit memos; close-cycle compression</t>
  </si>
  <si>
    <t xml:space="preserve">po_header, po_line, receiver_header/line, invoice_header/line, threeway_match</t>
  </si>
  <si>
    <t xml:space="preserve">3-way recovery; FTE efficiency; faster close</t>
  </si>
  <si>
    <t xml:space="preserve">Pricing &amp; Promotion</t>
  </si>
  <si>
    <t xml:space="preserve">Ingest vendor price updates, stage ERP changes, manage promo calendar and retail price events.</t>
  </si>
  <si>
    <t xml:space="preserve">Pricing analyst, Merch mgr</t>
  </si>
  <si>
    <t xml:space="preserve">Vendor increase impact analysis; price file -&gt; ERP staging; promo start/end orchestration</t>
  </si>
  <si>
    <t xml:space="preserve">price_master, price_change_events, dim_vendor</t>
  </si>
  <si>
    <t xml:space="preserve">Margin capture</t>
  </si>
  <si>
    <t xml:space="preserve">Markdown Management</t>
  </si>
  <si>
    <t xml:space="preserve">Policy-driven markdown ladders with A/B-tested timing/depth optimization and label file generation.</t>
  </si>
  <si>
    <t xml:space="preserve">Merch mgr, Store ops</t>
  </si>
  <si>
    <t xml:space="preserve">Season sell-through monitoring; markdown step triggers; delayed-ladder experiments; label files per store</t>
  </si>
  <si>
    <t xml:space="preserve">markdown_policy, price_change_events, experiments, fact_inventory_daily</t>
  </si>
  <si>
    <t xml:space="preserve">Markdown optimization</t>
  </si>
  <si>
    <t xml:space="preserve">Team Communications &amp; Store Tasks</t>
  </si>
  <si>
    <t xml:space="preserve">LLM-drafted, human-approved comms; store task checklists (retag, labels, receive checks, transfer picks) with completion tracking.</t>
  </si>
  <si>
    <t xml:space="preserve">Store ops, District mgr</t>
  </si>
  <si>
    <t xml:space="preserve">'Here's what changed' digests; retag checklists; overdue task escalation (labor-module alert pattern)</t>
  </si>
  <si>
    <t xml:space="preserve">store_tasks, comms_log, price_change_events</t>
  </si>
  <si>
    <t xml:space="preserve">FTE efficiency; execution compliance</t>
  </si>
  <si>
    <t xml:space="preserve">Analytics &amp; Experiments</t>
  </si>
  <si>
    <t xml:space="preserve">Value-driver dashboards and the experiment engine (A/B tests with AI summaries).</t>
  </si>
  <si>
    <t xml:space="preserve">Merch director, CEO/owner, Finance</t>
  </si>
  <si>
    <t xml:space="preserve">Stockout $/root cause; turns vs in-stock frontier; markdown $ saved; match variance recovered; test read-outs</t>
  </si>
  <si>
    <t xml:space="preserve">stockout_events, experiments, demand_forecast, threeway_match</t>
  </si>
  <si>
    <t xml:space="preserve">All four value drivers</t>
  </si>
  <si>
    <t xml:space="preserve">Admin &amp; Data Health</t>
  </si>
  <si>
    <t xml:space="preserve">Reference-data housekeeping: crossref completeness, curve coverage, manual-table review dates, feed freshness.</t>
  </si>
  <si>
    <t xml:space="preserve">Merch ops, SolutionSet</t>
  </si>
  <si>
    <t xml:space="preserve">ATS crossref match rate; stale lead-time reviews; feed SLA monitors</t>
  </si>
  <si>
    <t xml:space="preserve">item_crossref, all manual tables</t>
  </si>
  <si>
    <t xml:space="preserve">Data trust</t>
  </si>
  <si>
    <t xml:space="preserve">Table</t>
  </si>
  <si>
    <t xml:space="preserve">Sheet</t>
  </si>
  <si>
    <t xml:space="preserve">Group</t>
  </si>
  <si>
    <t xml:space="preserve">Field</t>
  </si>
  <si>
    <t xml:space="preserve">Type</t>
  </si>
  <si>
    <t xml:space="preserve">Key</t>
  </si>
  <si>
    <t xml:space="preserve">Description</t>
  </si>
  <si>
    <t xml:space="preserve">Populated by</t>
  </si>
  <si>
    <t xml:space="preserve">Manually managed?</t>
  </si>
  <si>
    <t xml:space="preserve">dim_store</t>
  </si>
  <si>
    <t xml:space="preserve">Reference</t>
  </si>
  <si>
    <t xml:space="preserve">store_id</t>
  </si>
  <si>
    <t xml:space="preserve">STRING</t>
  </si>
  <si>
    <t xml:space="preserve">PK</t>
  </si>
  <si>
    <t xml:space="preserve">Location code</t>
  </si>
  <si>
    <t xml:space="preserve">ERP/POS location master</t>
  </si>
  <si>
    <t xml:space="preserve">store_name</t>
  </si>
  <si>
    <t xml:space="preserve">Display name</t>
  </si>
  <si>
    <t xml:space="preserve">store_type</t>
  </si>
  <si>
    <t xml:space="preserve">Store | Warehouse | Truck</t>
  </si>
  <si>
    <t xml:space="preserve">banner</t>
  </si>
  <si>
    <t xml:space="preserve">Work World | Whistle Workwear | Shoeteria</t>
  </si>
  <si>
    <t xml:space="preserve">city</t>
  </si>
  <si>
    <t xml:space="preserve">state</t>
  </si>
  <si>
    <t xml:space="preserve">climate_zone</t>
  </si>
  <si>
    <t xml:space="preserve">Weather region used for demand signals</t>
  </si>
  <si>
    <t xml:space="preserve">traffic_counter</t>
  </si>
  <si>
    <t xml:space="preserve">BOOLEAN</t>
  </si>
  <si>
    <t xml:space="preserve">Door counter installed</t>
  </si>
  <si>
    <t xml:space="preserve">sqft</t>
  </si>
  <si>
    <t xml:space="preserve">INT</t>
  </si>
  <si>
    <t xml:space="preserve">Selling square feet</t>
  </si>
  <si>
    <t xml:space="preserve">open_date</t>
  </si>
  <si>
    <t xml:space="preserve">DATE</t>
  </si>
  <si>
    <t xml:space="preserve">status</t>
  </si>
  <si>
    <t xml:space="preserve">Active | Closed</t>
  </si>
  <si>
    <t xml:space="preserve">dim_vendor</t>
  </si>
  <si>
    <t xml:space="preserve">vendor_id</t>
  </si>
  <si>
    <t xml:space="preserve">ERP vendor master + app enrichment</t>
  </si>
  <si>
    <t xml:space="preserve">vendor_name</t>
  </si>
  <si>
    <t xml:space="preserve">parent_vendor</t>
  </si>
  <si>
    <t xml:space="preserve">House-of-brands parent</t>
  </si>
  <si>
    <t xml:space="preserve">sophistication</t>
  </si>
  <si>
    <t xml:space="preserve">Tier A (full EDI) | Tier B (partial) | Tier C (manual)</t>
  </si>
  <si>
    <t xml:space="preserve">edi_via_sps</t>
  </si>
  <si>
    <t xml:space="preserve">Trades via SPS Commerce</t>
  </si>
  <si>
    <t xml:space="preserve">edi_docs</t>
  </si>
  <si>
    <t xml:space="preserve">EDI docs supported (850/855/856/810/846/832)</t>
  </si>
  <si>
    <t xml:space="preserve">ats_method</t>
  </si>
  <si>
    <t xml:space="preserve">EDI 846 | Portal download | Email/manual | None</t>
  </si>
  <si>
    <t xml:space="preserve">rep_name</t>
  </si>
  <si>
    <t xml:space="preserve">rep_email</t>
  </si>
  <si>
    <t xml:space="preserve">vendor_terms</t>
  </si>
  <si>
    <t xml:space="preserve">PK,FK</t>
  </si>
  <si>
    <t xml:space="preserve">ERP (exists today)</t>
  </si>
  <si>
    <t xml:space="preserve">terms_code</t>
  </si>
  <si>
    <t xml:space="preserve">net_days</t>
  </si>
  <si>
    <t xml:space="preserve">disc_pct</t>
  </si>
  <si>
    <t xml:space="preserve">DECIMAL</t>
  </si>
  <si>
    <t xml:space="preserve">Early-pay discount</t>
  </si>
  <si>
    <t xml:space="preserve">disc_days</t>
  </si>
  <si>
    <t xml:space="preserve">freight_terms</t>
  </si>
  <si>
    <t xml:space="preserve">fob_point</t>
  </si>
  <si>
    <t xml:space="preserve">min_prepaid_freight</t>
  </si>
  <si>
    <t xml:space="preserve">CURRENCY</t>
  </si>
  <si>
    <t xml:space="preserve">Order $ for prepaid freight</t>
  </si>
  <si>
    <t xml:space="preserve">vendor_lead_times</t>
  </si>
  <si>
    <t xml:space="preserve">MANUAL seed, then computed from PO history</t>
  </si>
  <si>
    <t xml:space="preserve">YES</t>
  </si>
  <si>
    <t xml:space="preserve">category</t>
  </si>
  <si>
    <t xml:space="preserve">Category-level override</t>
  </si>
  <si>
    <t xml:space="preserve">quoted_lead_days</t>
  </si>
  <si>
    <t xml:space="preserve">Vendor-quoted</t>
  </si>
  <si>
    <t xml:space="preserve">actual_lead_days_p50</t>
  </si>
  <si>
    <t xml:space="preserve">Median observed (computed)</t>
  </si>
  <si>
    <t xml:space="preserve">actual_lead_days_p90</t>
  </si>
  <si>
    <t xml:space="preserve">90th pct observed (computed)</t>
  </si>
  <si>
    <t xml:space="preserve">fill_rate_pct</t>
  </si>
  <si>
    <t xml:space="preserve">Units received / ordered, trailing 12m</t>
  </si>
  <si>
    <t xml:space="preserve">moq_units</t>
  </si>
  <si>
    <t xml:space="preserve">Minimum order quantity</t>
  </si>
  <si>
    <t xml:space="preserve">review_date</t>
  </si>
  <si>
    <t xml:space="preserve">Last manual review</t>
  </si>
  <si>
    <t xml:space="preserve">vendor_tier_pricing</t>
  </si>
  <si>
    <t xml:space="preserve">tier_id</t>
  </si>
  <si>
    <t xml:space="preserve">MANUAL (new build - does not exist today)</t>
  </si>
  <si>
    <t xml:space="preserve">FK</t>
  </si>
  <si>
    <t xml:space="preserve">program</t>
  </si>
  <si>
    <t xml:space="preserve">Program / product scope</t>
  </si>
  <si>
    <t xml:space="preserve">uom</t>
  </si>
  <si>
    <t xml:space="preserve">tier_min_qty</t>
  </si>
  <si>
    <t xml:space="preserve">tier_max_qty</t>
  </si>
  <si>
    <t xml:space="preserve">unit_price</t>
  </si>
  <si>
    <t xml:space="preserve">disc_vs_base_pct</t>
  </si>
  <si>
    <t xml:space="preserve">effective_start</t>
  </si>
  <si>
    <t xml:space="preserve">effective_end</t>
  </si>
  <si>
    <t xml:space="preserve">vendor_promo_opportunities</t>
  </si>
  <si>
    <t xml:space="preserve">vendor_promo_opps</t>
  </si>
  <si>
    <t xml:space="preserve">opp_id</t>
  </si>
  <si>
    <t xml:space="preserve">MANUAL entry + AI evaluation</t>
  </si>
  <si>
    <t xml:space="preserve">opp_type</t>
  </si>
  <si>
    <t xml:space="preserve">Closeout | Opportunity buy | SMU | Tier-break coordination | Preseason book</t>
  </si>
  <si>
    <t xml:space="preserve">description</t>
  </si>
  <si>
    <t xml:space="preserve">offer_date</t>
  </si>
  <si>
    <t xml:space="preserve">expiry_date</t>
  </si>
  <si>
    <t xml:space="preserve">commit_qty</t>
  </si>
  <si>
    <t xml:space="preserve">offer_unit_cost</t>
  </si>
  <si>
    <t xml:space="preserve">base_unit_cost</t>
  </si>
  <si>
    <t xml:space="preserve">est_margin_uplift_pct</t>
  </si>
  <si>
    <t xml:space="preserve">AI-evaluated</t>
  </si>
  <si>
    <t xml:space="preserve">est_weeks_of_supply</t>
  </si>
  <si>
    <t xml:space="preserve">AI-evaluated at commit qty</t>
  </si>
  <si>
    <t xml:space="preserve">ai_recommendation</t>
  </si>
  <si>
    <t xml:space="preserve">Open | Accepted | Declined | Expired</t>
  </si>
  <si>
    <t xml:space="preserve">dim_category</t>
  </si>
  <si>
    <t xml:space="preserve">category_id</t>
  </si>
  <si>
    <t xml:space="preserve">ERP merch hierarchy + app enrichment</t>
  </si>
  <si>
    <t xml:space="preserve">department</t>
  </si>
  <si>
    <t xml:space="preserve">subcategory</t>
  </si>
  <si>
    <t xml:space="preserve">lifecycle</t>
  </si>
  <si>
    <t xml:space="preserve">Evergreen | Seasonal</t>
  </si>
  <si>
    <t xml:space="preserve">size_model</t>
  </si>
  <si>
    <t xml:space="preserve">AlphaSize | WaistInseam | HalfSizeWidth | OneSize</t>
  </si>
  <si>
    <t xml:space="preserve">default_size_curve</t>
  </si>
  <si>
    <t xml:space="preserve">size_curves.curve_id</t>
  </si>
  <si>
    <t xml:space="preserve">default_seasonality</t>
  </si>
  <si>
    <t xml:space="preserve">seasonality_curves.curve_id</t>
  </si>
  <si>
    <t xml:space="preserve">weather_sensitivity</t>
  </si>
  <si>
    <t xml:space="preserve">Primary weather driver</t>
  </si>
  <si>
    <t xml:space="preserve">dim_style</t>
  </si>
  <si>
    <t xml:space="preserve">style_id</t>
  </si>
  <si>
    <t xml:space="preserve">ERP item master (style level)</t>
  </si>
  <si>
    <t xml:space="preserve">brand</t>
  </si>
  <si>
    <t xml:space="preserve">style_name</t>
  </si>
  <si>
    <t xml:space="preserve">season_code</t>
  </si>
  <si>
    <t xml:space="preserve">ALL | SS | FW</t>
  </si>
  <si>
    <t xml:space="preserve">size_curve_id</t>
  </si>
  <si>
    <t xml:space="preserve">Override of category default</t>
  </si>
  <si>
    <t xml:space="preserve">seasonality_id</t>
  </si>
  <si>
    <t xml:space="preserve">base_cost</t>
  </si>
  <si>
    <t xml:space="preserve">base_retail</t>
  </si>
  <si>
    <t xml:space="preserve">dim_sku</t>
  </si>
  <si>
    <t xml:space="preserve">sku_id</t>
  </si>
  <si>
    <t xml:space="preserve">ERP item master (SKU level)</t>
  </si>
  <si>
    <t xml:space="preserve">color</t>
  </si>
  <si>
    <t xml:space="preserve">size</t>
  </si>
  <si>
    <t xml:space="preserve">upc</t>
  </si>
  <si>
    <t xml:space="preserve">replenishable</t>
  </si>
  <si>
    <t xml:space="preserve">On min/max program</t>
  </si>
  <si>
    <t xml:space="preserve">Active | Discontinued</t>
  </si>
  <si>
    <t xml:space="preserve">item_crossref</t>
  </si>
  <si>
    <t xml:space="preserve">SPS Commerce catalog (832) + MANUAL for Tier C</t>
  </si>
  <si>
    <t xml:space="preserve">vendor_style</t>
  </si>
  <si>
    <t xml:space="preserve">Vendor's style number</t>
  </si>
  <si>
    <t xml:space="preserve">vendor_sku</t>
  </si>
  <si>
    <t xml:space="preserve">Vendor's SKU/size code</t>
  </si>
  <si>
    <t xml:space="preserve">source</t>
  </si>
  <si>
    <t xml:space="preserve">EDI 832 | Portal | Manual</t>
  </si>
  <si>
    <t xml:space="preserve">size_curves</t>
  </si>
  <si>
    <t xml:space="preserve">curve_id</t>
  </si>
  <si>
    <t xml:space="preserve">MANUAL (migrated from team Excel), then AI-recalibrated</t>
  </si>
  <si>
    <t xml:space="preserve">curve_name</t>
  </si>
  <si>
    <t xml:space="preserve">pct_units</t>
  </si>
  <si>
    <t xml:space="preserve">Share of units, sums to 1.00 per curve</t>
  </si>
  <si>
    <t xml:space="preserve">meat_size</t>
  </si>
  <si>
    <t xml:space="preserve">Core size whose break triggers urgent action</t>
  </si>
  <si>
    <t xml:space="preserve">seasonality_curves</t>
  </si>
  <si>
    <t xml:space="preserve">Computed from 3+ yrs sales history</t>
  </si>
  <si>
    <t xml:space="preserve">month</t>
  </si>
  <si>
    <t xml:space="preserve">index</t>
  </si>
  <si>
    <t xml:space="preserve">Demand index vs average month</t>
  </si>
  <si>
    <t xml:space="preserve">product_tags</t>
  </si>
  <si>
    <t xml:space="preserve">tag_id</t>
  </si>
  <si>
    <t xml:space="preserve">MANUAL curation + AI-suggested from history</t>
  </si>
  <si>
    <t xml:space="preserve">entity_type</t>
  </si>
  <si>
    <t xml:space="preserve">Style | Category</t>
  </si>
  <si>
    <t xml:space="preserve">entity_id</t>
  </si>
  <si>
    <t xml:space="preserve">tag_type</t>
  </si>
  <si>
    <t xml:space="preserve">WeatherResponse | Trade | Compliance | Program</t>
  </si>
  <si>
    <t xml:space="preserve">tag_value</t>
  </si>
  <si>
    <t xml:space="preserve">strength</t>
  </si>
  <si>
    <t xml:space="preserve">Measured effect size (e.g., rain-day sales lift multiple)</t>
  </si>
  <si>
    <t xml:space="preserve">Manual | AI-suggested | Validated</t>
  </si>
  <si>
    <t xml:space="preserve">store_sku_params</t>
  </si>
  <si>
    <t xml:space="preserve">App-managed (seeded from current ERP min/max)</t>
  </si>
  <si>
    <t xml:space="preserve">min_units</t>
  </si>
  <si>
    <t xml:space="preserve">max_units</t>
  </si>
  <si>
    <t xml:space="preserve">reorder_point</t>
  </si>
  <si>
    <t xml:space="preserve">safety_stock</t>
  </si>
  <si>
    <t xml:space="preserve">lead_time_days_override</t>
  </si>
  <si>
    <t xml:space="preserve">Blank = vendor/category default</t>
  </si>
  <si>
    <t xml:space="preserve">last_reviewed</t>
  </si>
  <si>
    <t xml:space="preserve">Today: reviewed ~2x/yr; target: continuous</t>
  </si>
  <si>
    <t xml:space="preserve">review_source</t>
  </si>
  <si>
    <t xml:space="preserve">Manual | System-suggested | System-auto</t>
  </si>
  <si>
    <t xml:space="preserve">price_master</t>
  </si>
  <si>
    <t xml:space="preserve">ERP + vendor price files (832/portal/email)</t>
  </si>
  <si>
    <t xml:space="preserve">effective_date</t>
  </si>
  <si>
    <t xml:space="preserve">unit_cost</t>
  </si>
  <si>
    <t xml:space="preserve">retail_price</t>
  </si>
  <si>
    <t xml:space="preserve">price_type</t>
  </si>
  <si>
    <t xml:space="preserve">Regular | Promo | Markdown</t>
  </si>
  <si>
    <t xml:space="preserve">EDI 832 | Portal | Email/manual | Markdown engine</t>
  </si>
  <si>
    <t xml:space="preserve">markdown_policy</t>
  </si>
  <si>
    <t xml:space="preserve">policy_id</t>
  </si>
  <si>
    <t xml:space="preserve">MANUAL policy + AI optimization</t>
  </si>
  <si>
    <t xml:space="preserve">scope</t>
  </si>
  <si>
    <t xml:space="preserve">Category / lifecycle scope</t>
  </si>
  <si>
    <t xml:space="preserve">trigger</t>
  </si>
  <si>
    <t xml:space="preserve">Weeks-of-supply or sell-through trigger</t>
  </si>
  <si>
    <t xml:space="preserve">step_1</t>
  </si>
  <si>
    <t xml:space="preserve">step_2</t>
  </si>
  <si>
    <t xml:space="preserve">step_3</t>
  </si>
  <si>
    <t xml:space="preserve">floor_margin_pct</t>
  </si>
  <si>
    <t xml:space="preserve">Do not price below</t>
  </si>
  <si>
    <t xml:space="preserve">Active | Testing</t>
  </si>
  <si>
    <t xml:space="preserve">fact_sales_daily</t>
  </si>
  <si>
    <t xml:space="preserve">Transactions</t>
  </si>
  <si>
    <t xml:space="preserve">sales_date</t>
  </si>
  <si>
    <t xml:space="preserve">POS (daily feed)</t>
  </si>
  <si>
    <t xml:space="preserve">units</t>
  </si>
  <si>
    <t xml:space="preserve">net_sales</t>
  </si>
  <si>
    <t xml:space="preserve">cogs</t>
  </si>
  <si>
    <t xml:space="preserve">margin_dollars</t>
  </si>
  <si>
    <t xml:space="preserve">Computed: net_sales - cogs</t>
  </si>
  <si>
    <t xml:space="preserve">promo_flag</t>
  </si>
  <si>
    <t xml:space="preserve">weather_rain_flag</t>
  </si>
  <si>
    <t xml:space="preserve">Joined from weather_daily</t>
  </si>
  <si>
    <t xml:space="preserve">fact_inventory_daily</t>
  </si>
  <si>
    <t xml:space="preserve">snapshot_date</t>
  </si>
  <si>
    <t xml:space="preserve">ERP perpetual inventory (daily snapshot)</t>
  </si>
  <si>
    <t xml:space="preserve">on_hand</t>
  </si>
  <si>
    <t xml:space="preserve">on_order</t>
  </si>
  <si>
    <t xml:space="preserve">in_transit</t>
  </si>
  <si>
    <t xml:space="preserve">proj_stockout_date</t>
  </si>
  <si>
    <t xml:space="preserve">Computed from forecast burn rate</t>
  </si>
  <si>
    <t xml:space="preserve">po_header</t>
  </si>
  <si>
    <t xml:space="preserve">po_id</t>
  </si>
  <si>
    <t xml:space="preserve">ERP / SPS EDI 850-855</t>
  </si>
  <si>
    <t xml:space="preserve">master_po_id</t>
  </si>
  <si>
    <t xml:space="preserve">Self-reference for child POs</t>
  </si>
  <si>
    <t xml:space="preserve">po_level</t>
  </si>
  <si>
    <t xml:space="preserve">Master | Store</t>
  </si>
  <si>
    <t xml:space="preserve">ship_to_store</t>
  </si>
  <si>
    <t xml:space="preserve">Blank on master</t>
  </si>
  <si>
    <t xml:space="preserve">po_type</t>
  </si>
  <si>
    <t xml:space="preserve">Replenishment | Seasonal | OpportunityBuy | SMU</t>
  </si>
  <si>
    <t xml:space="preserve">order_date</t>
  </si>
  <si>
    <t xml:space="preserve">requested_ship</t>
  </si>
  <si>
    <t xml:space="preserve">cancel_after</t>
  </si>
  <si>
    <t xml:space="preserve">edi_850_sent</t>
  </si>
  <si>
    <t xml:space="preserve">edi_855_ack</t>
  </si>
  <si>
    <t xml:space="preserve">Accepted | AcceptedWithChanges | Pending</t>
  </si>
  <si>
    <t xml:space="preserve">Open | PartialReceived | Received | Closed | Cancelled</t>
  </si>
  <si>
    <t xml:space="preserve">po_line</t>
  </si>
  <si>
    <t xml:space="preserve">ERP / SPS EDI 850</t>
  </si>
  <si>
    <t xml:space="preserve">line_no</t>
  </si>
  <si>
    <t xml:space="preserve">qty_ordered</t>
  </si>
  <si>
    <t xml:space="preserve">qty_received</t>
  </si>
  <si>
    <t xml:space="preserve">qty_cancelled</t>
  </si>
  <si>
    <t xml:space="preserve">qty_open</t>
  </si>
  <si>
    <t xml:space="preserve">Computed: ordered - received - cancelled</t>
  </si>
  <si>
    <t xml:space="preserve">receiver_header</t>
  </si>
  <si>
    <t xml:space="preserve">receiver_id</t>
  </si>
  <si>
    <t xml:space="preserve">Store receiving (ERP, electronic) / EDI 856 ASN match</t>
  </si>
  <si>
    <t xml:space="preserve">received_date</t>
  </si>
  <si>
    <t xml:space="preserve">asn_856_matched</t>
  </si>
  <si>
    <t xml:space="preserve">carton_count</t>
  </si>
  <si>
    <t xml:space="preserve">received_by</t>
  </si>
  <si>
    <t xml:space="preserve">Complete | Partial | Discrepancy</t>
  </si>
  <si>
    <t xml:space="preserve">receiver_line</t>
  </si>
  <si>
    <t xml:space="preserve">Store receiving (ERP)</t>
  </si>
  <si>
    <t xml:space="preserve">qty_expected</t>
  </si>
  <si>
    <t xml:space="preserve">qty_damaged</t>
  </si>
  <si>
    <t xml:space="preserve">variance_units</t>
  </si>
  <si>
    <t xml:space="preserve">Computed: received - expected</t>
  </si>
  <si>
    <t xml:space="preserve">note</t>
  </si>
  <si>
    <t xml:space="preserve">invoice_header</t>
  </si>
  <si>
    <t xml:space="preserve">invoice_id</t>
  </si>
  <si>
    <t xml:space="preserve">SPS EDI 810 / AP system</t>
  </si>
  <si>
    <t xml:space="preserve">master_statement_id</t>
  </si>
  <si>
    <t xml:space="preserve">Vendor statement grouping</t>
  </si>
  <si>
    <t xml:space="preserve">invoice_date</t>
  </si>
  <si>
    <t xml:space="preserve">due_date</t>
  </si>
  <si>
    <t xml:space="preserve">merch_amount</t>
  </si>
  <si>
    <t xml:space="preserve">freight_amount</t>
  </si>
  <si>
    <t xml:space="preserve">other_charges</t>
  </si>
  <si>
    <t xml:space="preserve">total_amount</t>
  </si>
  <si>
    <t xml:space="preserve">Computed: merch + freight + other</t>
  </si>
  <si>
    <t xml:space="preserve">Received | Matched | Exception | Paid</t>
  </si>
  <si>
    <t xml:space="preserve">invoice_line</t>
  </si>
  <si>
    <t xml:space="preserve">qty_invoiced</t>
  </si>
  <si>
    <t xml:space="preserve">ext_amount</t>
  </si>
  <si>
    <t xml:space="preserve">Computed: qty x cost</t>
  </si>
  <si>
    <t xml:space="preserve">threeway_match</t>
  </si>
  <si>
    <t xml:space="preserve">Analytics</t>
  </si>
  <si>
    <t xml:space="preserve">match_id</t>
  </si>
  <si>
    <t xml:space="preserve">Computed nightly by app</t>
  </si>
  <si>
    <t xml:space="preserve">qty_po</t>
  </si>
  <si>
    <t xml:space="preserve">cost_po</t>
  </si>
  <si>
    <t xml:space="preserve">cost_invoiced</t>
  </si>
  <si>
    <t xml:space="preserve">variance_type</t>
  </si>
  <si>
    <t xml:space="preserve">None | QtyShort | QtyOver | PriceVariance | FreightUnexpected | MissingReceiver</t>
  </si>
  <si>
    <t xml:space="preserve">variance_amount</t>
  </si>
  <si>
    <t xml:space="preserve">$ exposure (computed)</t>
  </si>
  <si>
    <t xml:space="preserve">ai_suggested_resolution</t>
  </si>
  <si>
    <t xml:space="preserve">AutoCleared | PendingReview | DebitMemoSent | Resolved</t>
  </si>
  <si>
    <t xml:space="preserve">transfer_orders</t>
  </si>
  <si>
    <t xml:space="preserve">transfer_id</t>
  </si>
  <si>
    <t xml:space="preserve">App-generated, executed in ERP</t>
  </si>
  <si>
    <t xml:space="preserve">from_store</t>
  </si>
  <si>
    <t xml:space="preserve">to_store</t>
  </si>
  <si>
    <t xml:space="preserve">qty</t>
  </si>
  <si>
    <t xml:space="preserve">reason</t>
  </si>
  <si>
    <t xml:space="preserve">SizeRebalance | Clearance consolidation | Truck stocking</t>
  </si>
  <si>
    <t xml:space="preserve">System-suggested | Manual</t>
  </si>
  <si>
    <t xml:space="preserve">created_date</t>
  </si>
  <si>
    <t xml:space="preserve">Suggested | Approved | InTransit | Received</t>
  </si>
  <si>
    <t xml:space="preserve">vendor_ats</t>
  </si>
  <si>
    <t xml:space="preserve">External</t>
  </si>
  <si>
    <t xml:space="preserve">SPS EDI 846 / vendor portals / manual email</t>
  </si>
  <si>
    <t xml:space="preserve">Via crossref; blank if unmatched</t>
  </si>
  <si>
    <t xml:space="preserve">ats_units</t>
  </si>
  <si>
    <t xml:space="preserve">vendor_dc</t>
  </si>
  <si>
    <t xml:space="preserve">next_avail_date</t>
  </si>
  <si>
    <t xml:space="preserve">If zero ATS</t>
  </si>
  <si>
    <t xml:space="preserve">capture_method</t>
  </si>
  <si>
    <t xml:space="preserve">EDI 846 | Portal download | Email/manual</t>
  </si>
  <si>
    <t xml:space="preserve">weather_daily</t>
  </si>
  <si>
    <t xml:space="preserve">weather_date</t>
  </si>
  <si>
    <t xml:space="preserve">NOAA/NWS API (history + 10-day forecast)</t>
  </si>
  <si>
    <t xml:space="preserve">precip_in</t>
  </si>
  <si>
    <t xml:space="preserve">temp_high_f</t>
  </si>
  <si>
    <t xml:space="preserve">temp_low_f</t>
  </si>
  <si>
    <t xml:space="preserve">rain_event_flag</t>
  </si>
  <si>
    <t xml:space="preserve">Precip &gt;= 0.25 in</t>
  </si>
  <si>
    <t xml:space="preserve">record_type</t>
  </si>
  <si>
    <t xml:space="preserve">History | Forecast</t>
  </si>
  <si>
    <t xml:space="preserve">store_traffic_daily</t>
  </si>
  <si>
    <t xml:space="preserve">traffic_date</t>
  </si>
  <si>
    <t xml:space="preserve">Door traffic counters</t>
  </si>
  <si>
    <t xml:space="preserve">door_count</t>
  </si>
  <si>
    <t xml:space="preserve">transactions</t>
  </si>
  <si>
    <t xml:space="preserve">conversion_pct</t>
  </si>
  <si>
    <t xml:space="preserve">Computed: transactions / door_count</t>
  </si>
  <si>
    <t xml:space="preserve">demand_forecast</t>
  </si>
  <si>
    <t xml:space="preserve">forecast_week</t>
  </si>
  <si>
    <t xml:space="preserve">Week start</t>
  </si>
  <si>
    <t xml:space="preserve">Computed (forecast engine)</t>
  </si>
  <si>
    <t xml:space="preserve">forecast_units</t>
  </si>
  <si>
    <t xml:space="preserve">weather_adj_units</t>
  </si>
  <si>
    <t xml:space="preserve">Increment from weather signal</t>
  </si>
  <si>
    <t xml:space="preserve">model_version</t>
  </si>
  <si>
    <t xml:space="preserve">mape_trailing_8wk</t>
  </si>
  <si>
    <t xml:space="preserve">Model accuracy at this grain</t>
  </si>
  <si>
    <t xml:space="preserve">replen_suggestions</t>
  </si>
  <si>
    <t xml:space="preserve">suggestion_id</t>
  </si>
  <si>
    <t xml:space="preserve">Computed (replenishment engine)</t>
  </si>
  <si>
    <t xml:space="preserve">action</t>
  </si>
  <si>
    <t xml:space="preserve">Order | TransferFirst | Hold | ExpediteCheck</t>
  </si>
  <si>
    <t xml:space="preserve">suggested_qty</t>
  </si>
  <si>
    <t xml:space="preserve">tier_break_note</t>
  </si>
  <si>
    <t xml:space="preserve">Suggested | Approved | Ordered | Dismissed</t>
  </si>
  <si>
    <t xml:space="preserve">stockout_events</t>
  </si>
  <si>
    <t xml:space="preserve">event_id</t>
  </si>
  <si>
    <t xml:space="preserve">Computed from inventory + forecast</t>
  </si>
  <si>
    <t xml:space="preserve">start_date</t>
  </si>
  <si>
    <t xml:space="preserve">end_date</t>
  </si>
  <si>
    <t xml:space="preserve">Blank = ongoing</t>
  </si>
  <si>
    <t xml:space="preserve">days_out</t>
  </si>
  <si>
    <t xml:space="preserve">est_lost_units</t>
  </si>
  <si>
    <t xml:space="preserve">est_lost_sales</t>
  </si>
  <si>
    <t xml:space="preserve">meat_size_flag</t>
  </si>
  <si>
    <t xml:space="preserve">Break in a core size</t>
  </si>
  <si>
    <t xml:space="preserve">root_cause</t>
  </si>
  <si>
    <t xml:space="preserve">LateVendor | ROPTooLow | ShortShip | DemandSpike</t>
  </si>
  <si>
    <t xml:space="preserve">price_change_events</t>
  </si>
  <si>
    <t xml:space="preserve">Vendor price files -&gt; app -&gt; ERP + store tasks</t>
  </si>
  <si>
    <t xml:space="preserve">event_type</t>
  </si>
  <si>
    <t xml:space="preserve">VendorIncrease | VendorDecrease | Markdown | PromoStart | PromoEnd</t>
  </si>
  <si>
    <t xml:space="preserve">skus_affected</t>
  </si>
  <si>
    <t xml:space="preserve">erp_updated</t>
  </si>
  <si>
    <t xml:space="preserve">stores_notified</t>
  </si>
  <si>
    <t xml:space="preserve">label_file_generated</t>
  </si>
  <si>
    <t xml:space="preserve">comm_id</t>
  </si>
  <si>
    <t xml:space="preserve">LLM-drafted communication</t>
  </si>
  <si>
    <t xml:space="preserve">store_tasks</t>
  </si>
  <si>
    <t xml:space="preserve">task_id</t>
  </si>
  <si>
    <t xml:space="preserve">App-generated (workflow engine)</t>
  </si>
  <si>
    <t xml:space="preserve">task_type</t>
  </si>
  <si>
    <t xml:space="preserve">Retag | MarkdownLabels | ReceiveCheck | TransferPick | PriceAck | CycleCount</t>
  </si>
  <si>
    <t xml:space="preserve">related_event</t>
  </si>
  <si>
    <t xml:space="preserve">price_change_events / transfer_orders / etc.</t>
  </si>
  <si>
    <t xml:space="preserve">title</t>
  </si>
  <si>
    <t xml:space="preserve">Open | InProgress | Done | Overdue</t>
  </si>
  <si>
    <t xml:space="preserve">completed_by</t>
  </si>
  <si>
    <t xml:space="preserve">completed_at</t>
  </si>
  <si>
    <t xml:space="preserve">comms_log</t>
  </si>
  <si>
    <t xml:space="preserve">App (LLM-drafted, human-approved)</t>
  </si>
  <si>
    <t xml:space="preserve">audience</t>
  </si>
  <si>
    <t xml:space="preserve">StoreOps | Vendor | Buying team</t>
  </si>
  <si>
    <t xml:space="preserve">channel</t>
  </si>
  <si>
    <t xml:space="preserve">App feed | Email | SMS digest</t>
  </si>
  <si>
    <t xml:space="preserve">subject</t>
  </si>
  <si>
    <t xml:space="preserve">drafted_by</t>
  </si>
  <si>
    <t xml:space="preserve">LLM model tag</t>
  </si>
  <si>
    <t xml:space="preserve">approved_by</t>
  </si>
  <si>
    <t xml:space="preserve">sent_at</t>
  </si>
  <si>
    <t xml:space="preserve">experiments</t>
  </si>
  <si>
    <t xml:space="preserve">exp_id</t>
  </si>
  <si>
    <t xml:space="preserve">App (experiment engine)</t>
  </si>
  <si>
    <t xml:space="preserve">hypothesis</t>
  </si>
  <si>
    <t xml:space="preserve">Stores / categories in test vs control</t>
  </si>
  <si>
    <t xml:space="preserve">primary_metric</t>
  </si>
  <si>
    <t xml:space="preserve">result</t>
  </si>
  <si>
    <t xml:space="preserve">ai_summary</t>
  </si>
  <si>
    <t xml:space="preserve">decision</t>
  </si>
  <si>
    <t xml:space="preserve">Rollout | Extend | Abandon</t>
  </si>
  <si>
    <t xml:space="preserve">Source</t>
  </si>
  <si>
    <t xml:space="preserve">Feed / method</t>
  </si>
  <si>
    <t xml:space="preserve">Cadence</t>
  </si>
  <si>
    <t xml:space="preserve">Tables populated</t>
  </si>
  <si>
    <t xml:space="preserve">Notes</t>
  </si>
  <si>
    <t xml:space="preserve">Retail ERP / POS (system TBD in discovery)</t>
  </si>
  <si>
    <t xml:space="preserve">System of record</t>
  </si>
  <si>
    <t xml:space="preserve">Direct DB extract or file drop -&gt; Databricks bronze</t>
  </si>
  <si>
    <t xml:space="preserve">Daily (sales/inventory nightly)</t>
  </si>
  <si>
    <t xml:space="preserve">dim_store, dim_style, dim_sku, price_master, fact_sales_daily, fact_inventory_daily, po_*, receiver_*, vendor_terms</t>
  </si>
  <si>
    <t xml:space="preserve">No</t>
  </si>
  <si>
    <t xml:space="preserve">Alex confirmed receiving is checked in electronically at store level; ERP name to confirm in discovery</t>
  </si>
  <si>
    <t xml:space="preserve">SPS Commerce (EDI)</t>
  </si>
  <si>
    <t xml:space="preserve">Integration hub</t>
  </si>
  <si>
    <t xml:space="preserve">EDI 850/855/856/810/846/832 via SPS</t>
  </si>
  <si>
    <t xml:space="preserve">Near-real-time / daily</t>
  </si>
  <si>
    <t xml:space="preserve">po_header, po_line, invoice_header, invoice_line, vendor_ats, item_crossref</t>
  </si>
  <si>
    <t xml:space="preserve">Already licensed &amp; flowing; under-leveraged today - the well to tap first (per call)</t>
  </si>
  <si>
    <t xml:space="preserve">Vendor portals (Tier B vendors)</t>
  </si>
  <si>
    <t xml:space="preserve">Scheduled portal download / RPA</t>
  </si>
  <si>
    <t xml:space="preserve">Weekly</t>
  </si>
  <si>
    <t xml:space="preserve">vendor_ats, price_master, item_crossref</t>
  </si>
  <si>
    <t xml:space="preserve">Partly</t>
  </si>
  <si>
    <t xml:space="preserve">Timberland PRO, Dickies, Ariat, KEEN, Georgia Boot, Danner, Helly Hansen</t>
  </si>
  <si>
    <t xml:space="preserve">Vendor email / spreadsheets (Tier C)</t>
  </si>
  <si>
    <t xml:space="preserve">Email attachment -&gt; parsed ingest with human confirm</t>
  </si>
  <si>
    <t xml:space="preserve">Ad hoc</t>
  </si>
  <si>
    <t xml:space="preserve">vendor_ats, price_master, vendor_promo_opportunities</t>
  </si>
  <si>
    <t xml:space="preserve">Ben Davis, Golden State Glove and other mom-and-pop vendors</t>
  </si>
  <si>
    <t xml:space="preserve">Merch team Excel assortment tools</t>
  </si>
  <si>
    <t xml:space="preserve">Legacy manual</t>
  </si>
  <si>
    <t xml:space="preserve">One-time migration + app-managed thereafter</t>
  </si>
  <si>
    <t xml:space="preserve">One-time / ongoing in app</t>
  </si>
  <si>
    <t xml:space="preserve">size_curves, store_sku_params (seed)</t>
  </si>
  <si>
    <t xml:space="preserve">Size curves live in Excel today (per call); migrate then recalibrate from data</t>
  </si>
  <si>
    <t xml:space="preserve">Manual entry in app (new builds)</t>
  </si>
  <si>
    <t xml:space="preserve">Manual</t>
  </si>
  <si>
    <t xml:space="preserve">App UI forms</t>
  </si>
  <si>
    <t xml:space="preserve">As needed</t>
  </si>
  <si>
    <t xml:space="preserve">vendor_lead_times (seed), vendor_tier_pricing, vendor_promo_opportunities, product_tags, markdown_policy</t>
  </si>
  <si>
    <t xml:space="preserve">Tables that do not exist today - housekeeping build; lead times later recalibrated from PO actuals</t>
  </si>
  <si>
    <t xml:space="preserve">NOAA / NWS weather API</t>
  </si>
  <si>
    <t xml:space="preserve">External signal</t>
  </si>
  <si>
    <t xml:space="preserve">API pull, history + 10-day forecast</t>
  </si>
  <si>
    <t xml:space="preserve">Daily</t>
  </si>
  <si>
    <t xml:space="preserve">Rain-event surge is the #1 weather signal for this business (boots/rainwear)</t>
  </si>
  <si>
    <t xml:space="preserve">Counter platform export/API</t>
  </si>
  <si>
    <t xml:space="preserve">Installed in subset of stores; coverage to confirm</t>
  </si>
  <si>
    <t xml:space="preserve">App-computed (Databricks jobs + models)</t>
  </si>
  <si>
    <t xml:space="preserve">Derived</t>
  </si>
  <si>
    <t xml:space="preserve">Nightly + intraday jobs</t>
  </si>
  <si>
    <t xml:space="preserve">Nightly / intraday</t>
  </si>
  <si>
    <t xml:space="preserve">seasonality_curves, demand_forecast, replen_suggestions, stockout_events, threeway_match, transfer_orders (suggestions), experiments</t>
  </si>
  <si>
    <t xml:space="preserve">Gold-layer outputs consumed by the web app</t>
  </si>
  <si>
    <t xml:space="preserve">LLM services</t>
  </si>
  <si>
    <t xml:space="preserve">Comms drafting, match resolution suggestions, test summaries</t>
  </si>
  <si>
    <t xml:space="preserve">On event</t>
  </si>
  <si>
    <t xml:space="preserve">comms_log, threeway_match (suggestions), experiments (summaries)</t>
  </si>
  <si>
    <t xml:space="preserve">Human approval before anything is sent or posted</t>
  </si>
  <si>
    <t xml:space="preserve">dim_store  -  All selling and stocking locations: 38 storefronts, 1 small warehouse, mobile truck stores.</t>
  </si>
  <si>
    <t xml:space="preserve">Populated by: ERP/POS location master   |   Dummy data - illustrative only</t>
  </si>
  <si>
    <t xml:space="preserve">S01</t>
  </si>
  <si>
    <t xml:space="preserve">Sacramento - Power Inn</t>
  </si>
  <si>
    <t xml:space="preserve">Store</t>
  </si>
  <si>
    <t xml:space="preserve">Work World</t>
  </si>
  <si>
    <t xml:space="preserve">Sacramento</t>
  </si>
  <si>
    <t xml:space="preserve">CA</t>
  </si>
  <si>
    <t xml:space="preserve">CA-Valley</t>
  </si>
  <si>
    <t xml:space="preserve">2004-03-15</t>
  </si>
  <si>
    <t xml:space="preserve">Active</t>
  </si>
  <si>
    <t xml:space="preserve">S02</t>
  </si>
  <si>
    <t xml:space="preserve">Fresno</t>
  </si>
  <si>
    <t xml:space="preserve">2006-08-01</t>
  </si>
  <si>
    <t xml:space="preserve">S03</t>
  </si>
  <si>
    <t xml:space="preserve">Modesto</t>
  </si>
  <si>
    <t xml:space="preserve">2008-05-20</t>
  </si>
  <si>
    <t xml:space="preserve">S04</t>
  </si>
  <si>
    <t xml:space="preserve">Redding</t>
  </si>
  <si>
    <t xml:space="preserve">CA-North</t>
  </si>
  <si>
    <t xml:space="preserve">2010-02-10</t>
  </si>
  <si>
    <t xml:space="preserve">S05</t>
  </si>
  <si>
    <t xml:space="preserve">Santa Rosa</t>
  </si>
  <si>
    <t xml:space="preserve">CA-Coast</t>
  </si>
  <si>
    <t xml:space="preserve">2012-09-01</t>
  </si>
  <si>
    <t xml:space="preserve">S06</t>
  </si>
  <si>
    <t xml:space="preserve">Eureka</t>
  </si>
  <si>
    <t xml:space="preserve">2014-04-18</t>
  </si>
  <si>
    <t xml:space="preserve">S07</t>
  </si>
  <si>
    <t xml:space="preserve">Bakersfield</t>
  </si>
  <si>
    <t xml:space="preserve">2015-11-02</t>
  </si>
  <si>
    <t xml:space="preserve">S08</t>
  </si>
  <si>
    <t xml:space="preserve">Stockton</t>
  </si>
  <si>
    <t xml:space="preserve">2016-06-15</t>
  </si>
  <si>
    <t xml:space="preserve">S09</t>
  </si>
  <si>
    <t xml:space="preserve">Tacoma</t>
  </si>
  <si>
    <t xml:space="preserve">Whistle Workwear</t>
  </si>
  <si>
    <t xml:space="preserve">WA</t>
  </si>
  <si>
    <t xml:space="preserve">WA-Puget</t>
  </si>
  <si>
    <t xml:space="preserve">2018-03-01</t>
  </si>
  <si>
    <t xml:space="preserve">S10</t>
  </si>
  <si>
    <t xml:space="preserve">Everett</t>
  </si>
  <si>
    <t xml:space="preserve">2019-07-22</t>
  </si>
  <si>
    <t xml:space="preserve">WH01</t>
  </si>
  <si>
    <t xml:space="preserve">Sacramento DC (small)</t>
  </si>
  <si>
    <t xml:space="preserve">Warehouse</t>
  </si>
  <si>
    <t xml:space="preserve">TRK01</t>
  </si>
  <si>
    <t xml:space="preserve">Mobile Truck 1 - NorCal</t>
  </si>
  <si>
    <t xml:space="preserve">Truck</t>
  </si>
  <si>
    <t xml:space="preserve">Roving</t>
  </si>
  <si>
    <t xml:space="preserve">2021-05-01</t>
  </si>
  <si>
    <t xml:space="preserve">dim_vendor  -  Vendor master enriched with EDI/ATS capability tiers. Parent rolls up houses of brands (e.g., Wolverine).</t>
  </si>
  <si>
    <t xml:space="preserve">Populated by: ERP vendor master + app enrichment   |   Dummy data - illustrative only</t>
  </si>
  <si>
    <t xml:space="preserve">V001</t>
  </si>
  <si>
    <t xml:space="preserve">Carhartt Inc.</t>
  </si>
  <si>
    <t xml:space="preserve">Tier A</t>
  </si>
  <si>
    <t xml:space="preserve">850/855/856/810/846/832</t>
  </si>
  <si>
    <t xml:space="preserve">EDI 846</t>
  </si>
  <si>
    <t xml:space="preserve">Dana Fields</t>
  </si>
  <si>
    <t xml:space="preserve">dfields@carhartt.example</t>
  </si>
  <si>
    <t xml:space="preserve">V002</t>
  </si>
  <si>
    <t xml:space="preserve">Wolverine World Wide</t>
  </si>
  <si>
    <t xml:space="preserve">850/855/856/810/846</t>
  </si>
  <si>
    <t xml:space="preserve">Mark Otis</t>
  </si>
  <si>
    <t xml:space="preserve">motis@www.example</t>
  </si>
  <si>
    <t xml:space="preserve">V003</t>
  </si>
  <si>
    <t xml:space="preserve">Timberland PRO (VF Corp)</t>
  </si>
  <si>
    <t xml:space="preserve">VF Corp</t>
  </si>
  <si>
    <t xml:space="preserve">850/855/856/810</t>
  </si>
  <si>
    <t xml:space="preserve">Portal download</t>
  </si>
  <si>
    <t xml:space="preserve">Lena Cruz</t>
  </si>
  <si>
    <t xml:space="preserve">lcruz@vfc.example</t>
  </si>
  <si>
    <t xml:space="preserve">V004</t>
  </si>
  <si>
    <t xml:space="preserve">Dickies (VF Corp)</t>
  </si>
  <si>
    <t xml:space="preserve">Tier B</t>
  </si>
  <si>
    <t xml:space="preserve">850/810</t>
  </si>
  <si>
    <t xml:space="preserve">Sam Reyes</t>
  </si>
  <si>
    <t xml:space="preserve">sreyes@vfc.example</t>
  </si>
  <si>
    <t xml:space="preserve">V005</t>
  </si>
  <si>
    <t xml:space="preserve">Ariat International</t>
  </si>
  <si>
    <t xml:space="preserve">850/856/810</t>
  </si>
  <si>
    <t xml:space="preserve">Kim Barta</t>
  </si>
  <si>
    <t xml:space="preserve">kbarta@ariat.example</t>
  </si>
  <si>
    <t xml:space="preserve">V006</t>
  </si>
  <si>
    <t xml:space="preserve">KEEN Utility</t>
  </si>
  <si>
    <t xml:space="preserve">Joe Lum</t>
  </si>
  <si>
    <t xml:space="preserve">jlum@keen.example</t>
  </si>
  <si>
    <t xml:space="preserve">V007</t>
  </si>
  <si>
    <t xml:space="preserve">BRUNT Workwear</t>
  </si>
  <si>
    <t xml:space="preserve">API (modern)</t>
  </si>
  <si>
    <t xml:space="preserve">API/Portal</t>
  </si>
  <si>
    <t xml:space="preserve">Ty Marsh</t>
  </si>
  <si>
    <t xml:space="preserve">tmarsh@brunt.example</t>
  </si>
  <si>
    <t xml:space="preserve">V008</t>
  </si>
  <si>
    <t xml:space="preserve">Thorogood (Weinbrenner)</t>
  </si>
  <si>
    <t xml:space="preserve">Email/manual</t>
  </si>
  <si>
    <t xml:space="preserve">Ann Weber</t>
  </si>
  <si>
    <t xml:space="preserve">aweber@weinbrenner.example</t>
  </si>
  <si>
    <t xml:space="preserve">V009</t>
  </si>
  <si>
    <t xml:space="preserve">Rocky Brands (Georgia Boot)</t>
  </si>
  <si>
    <t xml:space="preserve">Rocky Brands</t>
  </si>
  <si>
    <t xml:space="preserve">Gil Ortega</t>
  </si>
  <si>
    <t xml:space="preserve">gortega@rocky.example</t>
  </si>
  <si>
    <t xml:space="preserve">V010</t>
  </si>
  <si>
    <t xml:space="preserve">Danner (LaCrosse Footwear)</t>
  </si>
  <si>
    <t xml:space="preserve">LaCrosse Footwear</t>
  </si>
  <si>
    <t xml:space="preserve">Pat Doyle</t>
  </si>
  <si>
    <t xml:space="preserve">pdoyle@lacrosse.example</t>
  </si>
  <si>
    <t xml:space="preserve">V011</t>
  </si>
  <si>
    <t xml:space="preserve">Ben Davis</t>
  </si>
  <si>
    <t xml:space="preserve">Tier C</t>
  </si>
  <si>
    <t xml:space="preserve">None</t>
  </si>
  <si>
    <t xml:space="preserve">Ray Chin</t>
  </si>
  <si>
    <t xml:space="preserve">ray@bendavis.example</t>
  </si>
  <si>
    <t xml:space="preserve">V012</t>
  </si>
  <si>
    <t xml:space="preserve">Helly Hansen Workwear</t>
  </si>
  <si>
    <t xml:space="preserve">Ida Strom</t>
  </si>
  <si>
    <t xml:space="preserve">istrom@hh.example</t>
  </si>
  <si>
    <t xml:space="preserve">V013</t>
  </si>
  <si>
    <t xml:space="preserve">Golden State Glove Co.</t>
  </si>
  <si>
    <t xml:space="preserve">Maria Soto</t>
  </si>
  <si>
    <t xml:space="preserve">maria@gsglove.example</t>
  </si>
  <si>
    <t xml:space="preserve">vendor_terms  -  Payment and freight terms by vendor. Confirmed to exist in current ERP tables.</t>
  </si>
  <si>
    <t xml:space="preserve">Populated by: ERP (exists today)   |   Dummy data - illustrative only</t>
  </si>
  <si>
    <t xml:space="preserve">2/10 NET 60</t>
  </si>
  <si>
    <t xml:space="preserve">Prepaid over minimum</t>
  </si>
  <si>
    <t xml:space="preserve">Origin</t>
  </si>
  <si>
    <t xml:space="preserve">NET 60</t>
  </si>
  <si>
    <t xml:space="preserve">NET 45</t>
  </si>
  <si>
    <t xml:space="preserve">Collect</t>
  </si>
  <si>
    <t xml:space="preserve">2/10 NET 45</t>
  </si>
  <si>
    <t xml:space="preserve">NET 30</t>
  </si>
  <si>
    <t xml:space="preserve">Prepaid</t>
  </si>
  <si>
    <t xml:space="preserve">Destination</t>
  </si>
  <si>
    <t xml:space="preserve">1/10 NET 30</t>
  </si>
  <si>
    <t xml:space="preserve">NET 15</t>
  </si>
  <si>
    <t xml:space="preserve">vendor_lead_times  -  Lead time intelligence. Does not exist today - seeded manually, then continuously recalibrated from PO-to-receipt actuals.</t>
  </si>
  <si>
    <t xml:space="preserve">Populated by: MANUAL seed, then computed from PO history   |   MANUALLY MANAGED   |   Dummy data - illustrative only</t>
  </si>
  <si>
    <t xml:space="preserve">Apparel</t>
  </si>
  <si>
    <t xml:space="preserve">2026-06-30</t>
  </si>
  <si>
    <t xml:space="preserve">Accessories</t>
  </si>
  <si>
    <t xml:space="preserve">Footwear</t>
  </si>
  <si>
    <t xml:space="preserve">Rainwear</t>
  </si>
  <si>
    <t xml:space="preserve">Gloves</t>
  </si>
  <si>
    <t xml:space="preserve">vendor_tier_pricing  -  Volume price breaks by vendor program. MOQs are modeled here too (tier 0 = not available below MOQ).</t>
  </si>
  <si>
    <t xml:space="preserve">Populated by: MANUAL (new build - does not exist today)   |   MANUALLY MANAGED   |   Dummy data - illustrative only</t>
  </si>
  <si>
    <t xml:space="preserve">TP-001</t>
  </si>
  <si>
    <t xml:space="preserve">K87 Pocket T program</t>
  </si>
  <si>
    <t xml:space="preserve">EA</t>
  </si>
  <si>
    <t xml:space="preserve">2026-01-01</t>
  </si>
  <si>
    <t xml:space="preserve">2026-12-31</t>
  </si>
  <si>
    <t xml:space="preserve">TP-002</t>
  </si>
  <si>
    <t xml:space="preserve">TP-003</t>
  </si>
  <si>
    <t xml:space="preserve">TP-004</t>
  </si>
  <si>
    <t xml:space="preserve">Overpass boot program</t>
  </si>
  <si>
    <t xml:space="preserve">PR</t>
  </si>
  <si>
    <t xml:space="preserve">TP-005</t>
  </si>
  <si>
    <t xml:space="preserve">TP-006</t>
  </si>
  <si>
    <t xml:space="preserve">874 work pant program</t>
  </si>
  <si>
    <t xml:space="preserve">TP-007</t>
  </si>
  <si>
    <t xml:space="preserve">TP-008</t>
  </si>
  <si>
    <t xml:space="preserve">Rainwear preseason book</t>
  </si>
  <si>
    <t xml:space="preserve">2026-04-01</t>
  </si>
  <si>
    <t xml:space="preserve">2026-07-31</t>
  </si>
  <si>
    <t xml:space="preserve">TP-009</t>
  </si>
  <si>
    <t xml:space="preserve">TP-010</t>
  </si>
  <si>
    <t xml:space="preserve">Deerskin glove</t>
  </si>
  <si>
    <t xml:space="preserve">vendor_promo_opportunities  -  Vendor deal pipeline: closeouts, opportunity buys, SMUs, tier-break coordination. AI scores margin uplift and sell-through risk.</t>
  </si>
  <si>
    <t xml:space="preserve">Populated by: MANUAL entry + AI evaluation   |   MANUALLY MANAGED   |   Dummy data - illustrative only</t>
  </si>
  <si>
    <t xml:space="preserve">OPP-2026-011</t>
  </si>
  <si>
    <t xml:space="preserve">Tier-break coordination</t>
  </si>
  <si>
    <t xml:space="preserve">Combine S01-S08 K87 reorders to hit 288-unit tier</t>
  </si>
  <si>
    <t xml:space="preserve">2026-06-20</t>
  </si>
  <si>
    <t xml:space="preserve">2026-07-20</t>
  </si>
  <si>
    <t xml:space="preserve">ACCEPT - consolidate replen POs, 10% cost break, 6 wks supply</t>
  </si>
  <si>
    <t xml:space="preserve">Accepted</t>
  </si>
  <si>
    <t xml:space="preserve">OPP-2026-012</t>
  </si>
  <si>
    <t xml:space="preserve">Closeout</t>
  </si>
  <si>
    <t xml:space="preserve">Overpass 6in CarbonMAX prior colorway, sizes 8-12</t>
  </si>
  <si>
    <t xml:space="preserve">2026-06-28</t>
  </si>
  <si>
    <t xml:space="preserve">2026-07-15</t>
  </si>
  <si>
    <t xml:space="preserve">ACCEPT PARTIAL (72 pr) - cap at 8 wks supply in meat sizes</t>
  </si>
  <si>
    <t xml:space="preserve">Open</t>
  </si>
  <si>
    <t xml:space="preserve">OPP-2026-013</t>
  </si>
  <si>
    <t xml:space="preserve">Preseason book</t>
  </si>
  <si>
    <t xml:space="preserve">Rainwear early-book 10% + dating for Oct delivery</t>
  </si>
  <si>
    <t xml:space="preserve">2026-07-01</t>
  </si>
  <si>
    <t xml:space="preserve">2026-08-15</t>
  </si>
  <si>
    <t xml:space="preserve">ACCEPT - rain season curve supports 150 units by Nov</t>
  </si>
  <si>
    <t xml:space="preserve">OPP-2026-014</t>
  </si>
  <si>
    <t xml:space="preserve">SMU</t>
  </si>
  <si>
    <t xml:space="preserve">Ben Davis SMU black half-zip, WW exclusive color</t>
  </si>
  <si>
    <t xml:space="preserve">2026-05-15</t>
  </si>
  <si>
    <t xml:space="preserve">2026-06-15</t>
  </si>
  <si>
    <t xml:space="preserve">DECLINE - 14 wks supply exceeds policy for Tier C vendor lead times</t>
  </si>
  <si>
    <t xml:space="preserve">Declined</t>
  </si>
  <si>
    <t xml:space="preserve">OPP-2026-015</t>
  </si>
  <si>
    <t xml:space="preserve">Opportunity buy</t>
  </si>
  <si>
    <t xml:space="preserve">Georgia Boot wedge overstock, 15% off, full size run</t>
  </si>
  <si>
    <t xml:space="preserve">2026-07-08</t>
  </si>
  <si>
    <t xml:space="preserve">2026-07-25</t>
  </si>
  <si>
    <t xml:space="preserve">REVIEW - verify size curve vs broken-run risk before commit</t>
  </si>
  <si>
    <t xml:space="preserve">dim_category  -  Merch hierarchy with planning attributes: lifecycle, size model, seasonality curve, weather sensitivity defaults.</t>
  </si>
  <si>
    <t xml:space="preserve">Populated by: ERP merch hierarchy + app enrichment   |   Dummy data - illustrative only</t>
  </si>
  <si>
    <t xml:space="preserve">C-100</t>
  </si>
  <si>
    <t xml:space="preserve">Work Boots</t>
  </si>
  <si>
    <t xml:space="preserve">Safety Toe</t>
  </si>
  <si>
    <t xml:space="preserve">Evergreen</t>
  </si>
  <si>
    <t xml:space="preserve">HalfSizeWidth</t>
  </si>
  <si>
    <t xml:space="preserve">SC-BOOT-M</t>
  </si>
  <si>
    <t xml:space="preserve">SEAS-BOOT</t>
  </si>
  <si>
    <t xml:space="preserve">Rain (waterproof styles)</t>
  </si>
  <si>
    <t xml:space="preserve">C-101</t>
  </si>
  <si>
    <t xml:space="preserve">Soft Toe</t>
  </si>
  <si>
    <t xml:space="preserve">Rain</t>
  </si>
  <si>
    <t xml:space="preserve">C-102</t>
  </si>
  <si>
    <t xml:space="preserve">Western Pull-On</t>
  </si>
  <si>
    <t xml:space="preserve">Low</t>
  </si>
  <si>
    <t xml:space="preserve">C-110</t>
  </si>
  <si>
    <t xml:space="preserve">Work Shoes</t>
  </si>
  <si>
    <t xml:space="preserve">Casual/Sneaker</t>
  </si>
  <si>
    <t xml:space="preserve">SEAS-FLAT</t>
  </si>
  <si>
    <t xml:space="preserve">C-200</t>
  </si>
  <si>
    <t xml:space="preserve">Work Pants</t>
  </si>
  <si>
    <t xml:space="preserve">Double-Knee</t>
  </si>
  <si>
    <t xml:space="preserve">WaistInseam</t>
  </si>
  <si>
    <t xml:space="preserve">SC-PANT-M</t>
  </si>
  <si>
    <t xml:space="preserve">C-201</t>
  </si>
  <si>
    <t xml:space="preserve">Jeans</t>
  </si>
  <si>
    <t xml:space="preserve">C-210</t>
  </si>
  <si>
    <t xml:space="preserve">Tops</t>
  </si>
  <si>
    <t xml:space="preserve">T-Shirts</t>
  </si>
  <si>
    <t xml:space="preserve">AlphaSize</t>
  </si>
  <si>
    <t xml:space="preserve">SC-TEE-M</t>
  </si>
  <si>
    <t xml:space="preserve">SEAS-TEE</t>
  </si>
  <si>
    <t xml:space="preserve">Heat (summer bump)</t>
  </si>
  <si>
    <t xml:space="preserve">C-211</t>
  </si>
  <si>
    <t xml:space="preserve">Sweatshirts &amp; Hoodies</t>
  </si>
  <si>
    <t xml:space="preserve">SEAS-COLD</t>
  </si>
  <si>
    <t xml:space="preserve">Cold</t>
  </si>
  <si>
    <t xml:space="preserve">C-220</t>
  </si>
  <si>
    <t xml:space="preserve">Outerwear</t>
  </si>
  <si>
    <t xml:space="preserve">Seasonal</t>
  </si>
  <si>
    <t xml:space="preserve">SEAS-RAIN</t>
  </si>
  <si>
    <t xml:space="preserve">Rain (surge)</t>
  </si>
  <si>
    <t xml:space="preserve">C-221</t>
  </si>
  <si>
    <t xml:space="preserve">Insulated</t>
  </si>
  <si>
    <t xml:space="preserve">C-222</t>
  </si>
  <si>
    <t xml:space="preserve">High Visibility</t>
  </si>
  <si>
    <t xml:space="preserve">Regulatory</t>
  </si>
  <si>
    <t xml:space="preserve">C-230</t>
  </si>
  <si>
    <t xml:space="preserve">Scrubs</t>
  </si>
  <si>
    <t xml:space="preserve">Tops &amp; Bottoms</t>
  </si>
  <si>
    <t xml:space="preserve">SC-TEE-U</t>
  </si>
  <si>
    <t xml:space="preserve">C-300</t>
  </si>
  <si>
    <t xml:space="preserve">Gear</t>
  </si>
  <si>
    <t xml:space="preserve">Work Gloves</t>
  </si>
  <si>
    <t xml:space="preserve">SC-GLOVE</t>
  </si>
  <si>
    <t xml:space="preserve">Cold/Rain</t>
  </si>
  <si>
    <t xml:space="preserve">C-301</t>
  </si>
  <si>
    <t xml:space="preserve">Socks/Hats/Belts</t>
  </si>
  <si>
    <t xml:space="preserve">OneSize</t>
  </si>
  <si>
    <t xml:space="preserve">SC-ONE</t>
  </si>
  <si>
    <t xml:space="preserve">C-310</t>
  </si>
  <si>
    <t xml:space="preserve">Safety Gear</t>
  </si>
  <si>
    <t xml:space="preserve">Hard Hats &amp; Eyewear</t>
  </si>
  <si>
    <t xml:space="preserve">dim_style  -  Style master. Apparel/footwear carried at style -&gt; color -&gt; size; styles link to vendor, category and curves.</t>
  </si>
  <si>
    <t xml:space="preserve">Populated by: ERP item master (style level)   |   Dummy data - illustrative only</t>
  </si>
  <si>
    <t xml:space="preserve">ST-CAR-K87</t>
  </si>
  <si>
    <t xml:space="preserve">Carhartt</t>
  </si>
  <si>
    <t xml:space="preserve">K87 Loose Fit Heavyweight Pocket T</t>
  </si>
  <si>
    <t xml:space="preserve">ALL</t>
  </si>
  <si>
    <t xml:space="preserve">ST-CAR-B01</t>
  </si>
  <si>
    <t xml:space="preserve">Double-Knee Duck Work Pant</t>
  </si>
  <si>
    <t xml:space="preserve">ST-CAR-104050</t>
  </si>
  <si>
    <t xml:space="preserve">Rain Defender Midweight Hoodie</t>
  </si>
  <si>
    <t xml:space="preserve">FW</t>
  </si>
  <si>
    <t xml:space="preserve">ST-CAR-A18</t>
  </si>
  <si>
    <t xml:space="preserve">Watch Hat (Beanie)</t>
  </si>
  <si>
    <t xml:space="preserve">ST-WOL-W10633</t>
  </si>
  <si>
    <t xml:space="preserve">Wolverine</t>
  </si>
  <si>
    <t xml:space="preserve">Overpass 6in CarbonMAX Boot</t>
  </si>
  <si>
    <t xml:space="preserve">ST-TIM-PITBOSS</t>
  </si>
  <si>
    <t xml:space="preserve">Timberland PRO</t>
  </si>
  <si>
    <t xml:space="preserve">Pit Boss 6in Steel Toe</t>
  </si>
  <si>
    <t xml:space="preserve">ST-DIC-874</t>
  </si>
  <si>
    <t xml:space="preserve">Dickies</t>
  </si>
  <si>
    <t xml:space="preserve">874 Original Work Pant</t>
  </si>
  <si>
    <t xml:space="preserve">ST-DIC-EDS</t>
  </si>
  <si>
    <t xml:space="preserve">EDS Essentials Scrub Top</t>
  </si>
  <si>
    <t xml:space="preserve">ST-ARI-WORKHOG</t>
  </si>
  <si>
    <t xml:space="preserve">Ariat</t>
  </si>
  <si>
    <t xml:space="preserve">WorkHog XT Waterproof</t>
  </si>
  <si>
    <t xml:space="preserve">ST-KEE-EVANSTON</t>
  </si>
  <si>
    <t xml:space="preserve">Evanston 6in Carbon-Fiber Toe</t>
  </si>
  <si>
    <t xml:space="preserve">ST-BRU-MARIN</t>
  </si>
  <si>
    <t xml:space="preserve">BRUNT</t>
  </si>
  <si>
    <t xml:space="preserve">Marin Comp Toe Boot</t>
  </si>
  <si>
    <t xml:space="preserve">ST-THO-804</t>
  </si>
  <si>
    <t xml:space="preserve">Thorogood</t>
  </si>
  <si>
    <t xml:space="preserve">American Heritage 6in MOC Toe</t>
  </si>
  <si>
    <t xml:space="preserve">ST-GEO-G6403</t>
  </si>
  <si>
    <t xml:space="preserve">Georgia Boot</t>
  </si>
  <si>
    <t xml:space="preserve">Wedge 6in Work Boot</t>
  </si>
  <si>
    <t xml:space="preserve">ST-HH-MOSS</t>
  </si>
  <si>
    <t xml:space="preserve">Helly Hansen</t>
  </si>
  <si>
    <t xml:space="preserve">Moss Rain Jacket</t>
  </si>
  <si>
    <t xml:space="preserve">ST-GSG-DEER</t>
  </si>
  <si>
    <t xml:space="preserve">Golden State Glove</t>
  </si>
  <si>
    <t xml:space="preserve">Deerskin Driver Glove</t>
  </si>
  <si>
    <t xml:space="preserve">dim_sku  -  SKU = style x color x size. Sample explosion shown for representative styles; full build explodes all active styles.</t>
  </si>
  <si>
    <t xml:space="preserve">Populated by: ERP item master (SKU level)   |   Dummy data - illustrative only</t>
  </si>
  <si>
    <t xml:space="preserve">SKU-10001</t>
  </si>
  <si>
    <t xml:space="preserve">Carbon Heather</t>
  </si>
  <si>
    <t xml:space="preserve">S</t>
  </si>
  <si>
    <t xml:space="preserve">0889192000011</t>
  </si>
  <si>
    <t xml:space="preserve">SKU-10002</t>
  </si>
  <si>
    <t xml:space="preserve">M</t>
  </si>
  <si>
    <t xml:space="preserve">0889192000028</t>
  </si>
  <si>
    <t xml:space="preserve">SKU-10003</t>
  </si>
  <si>
    <t xml:space="preserve">L</t>
  </si>
  <si>
    <t xml:space="preserve">0889192000035</t>
  </si>
  <si>
    <t xml:space="preserve">SKU-10004</t>
  </si>
  <si>
    <t xml:space="preserve">XL</t>
  </si>
  <si>
    <t xml:space="preserve">0889192000042</t>
  </si>
  <si>
    <t xml:space="preserve">SKU-10005</t>
  </si>
  <si>
    <t xml:space="preserve">2XL</t>
  </si>
  <si>
    <t xml:space="preserve">0889192000059</t>
  </si>
  <si>
    <t xml:space="preserve">SKU-10006</t>
  </si>
  <si>
    <t xml:space="preserve">3XL</t>
  </si>
  <si>
    <t xml:space="preserve">0889192000066</t>
  </si>
  <si>
    <t xml:space="preserve">SKU-10011</t>
  </si>
  <si>
    <t xml:space="preserve">Black</t>
  </si>
  <si>
    <t xml:space="preserve">0889192000110</t>
  </si>
  <si>
    <t xml:space="preserve">SKU-10012</t>
  </si>
  <si>
    <t xml:space="preserve">0889192000127</t>
  </si>
  <si>
    <t xml:space="preserve">SKU-20001</t>
  </si>
  <si>
    <t xml:space="preserve">Brown</t>
  </si>
  <si>
    <t xml:space="preserve">8 M</t>
  </si>
  <si>
    <t xml:space="preserve">0044928000085</t>
  </si>
  <si>
    <t xml:space="preserve">SKU-20002</t>
  </si>
  <si>
    <t xml:space="preserve">9 M</t>
  </si>
  <si>
    <t xml:space="preserve">0044928000092</t>
  </si>
  <si>
    <t xml:space="preserve">SKU-20003</t>
  </si>
  <si>
    <t xml:space="preserve">10 M</t>
  </si>
  <si>
    <t xml:space="preserve">0044928000108</t>
  </si>
  <si>
    <t xml:space="preserve">SKU-20004</t>
  </si>
  <si>
    <t xml:space="preserve">10.5 M</t>
  </si>
  <si>
    <t xml:space="preserve">0044928000115</t>
  </si>
  <si>
    <t xml:space="preserve">SKU-20005</t>
  </si>
  <si>
    <t xml:space="preserve">11 M</t>
  </si>
  <si>
    <t xml:space="preserve">0044928000122</t>
  </si>
  <si>
    <t xml:space="preserve">SKU-20006</t>
  </si>
  <si>
    <t xml:space="preserve">12 M</t>
  </si>
  <si>
    <t xml:space="preserve">0044928000139</t>
  </si>
  <si>
    <t xml:space="preserve">SKU-30001</t>
  </si>
  <si>
    <t xml:space="preserve">Charcoal</t>
  </si>
  <si>
    <t xml:space="preserve">32x30</t>
  </si>
  <si>
    <t xml:space="preserve">0607645000321</t>
  </si>
  <si>
    <t xml:space="preserve">SKU-30002</t>
  </si>
  <si>
    <t xml:space="preserve">34x30</t>
  </si>
  <si>
    <t xml:space="preserve">0607645000343</t>
  </si>
  <si>
    <t xml:space="preserve">SKU-30003</t>
  </si>
  <si>
    <t xml:space="preserve">34x32</t>
  </si>
  <si>
    <t xml:space="preserve">0607645000344</t>
  </si>
  <si>
    <t xml:space="preserve">SKU-30004</t>
  </si>
  <si>
    <t xml:space="preserve">36x30</t>
  </si>
  <si>
    <t xml:space="preserve">0607645000363</t>
  </si>
  <si>
    <t xml:space="preserve">SKU-40001</t>
  </si>
  <si>
    <t xml:space="preserve">7040055000402</t>
  </si>
  <si>
    <t xml:space="preserve">SKU-40002</t>
  </si>
  <si>
    <t xml:space="preserve">7040055000419</t>
  </si>
  <si>
    <t xml:space="preserve">SKU-40003</t>
  </si>
  <si>
    <t xml:space="preserve">7040055000426</t>
  </si>
  <si>
    <t xml:space="preserve">item_crossref  -  Cross-reference: internal SKU to vendor style/SKU and UPC, required for EDI, ATS matching, invoices.</t>
  </si>
  <si>
    <t xml:space="preserve">Populated by: SPS Commerce catalog (832) + MANUAL for Tier C   |   MANUALLY MANAGED   |   Dummy data - illustrative only</t>
  </si>
  <si>
    <t xml:space="preserve">K87</t>
  </si>
  <si>
    <t xml:space="preserve">K87-CRH-M</t>
  </si>
  <si>
    <t xml:space="preserve">EDI 832</t>
  </si>
  <si>
    <t xml:space="preserve">K87-CRH-L</t>
  </si>
  <si>
    <t xml:space="preserve">W10633</t>
  </si>
  <si>
    <t xml:space="preserve">W10633-10M</t>
  </si>
  <si>
    <t xml:space="preserve">W10633-11M</t>
  </si>
  <si>
    <t xml:space="preserve">874</t>
  </si>
  <si>
    <t xml:space="preserve">874-CH-3430</t>
  </si>
  <si>
    <t xml:space="preserve">Portal</t>
  </si>
  <si>
    <t xml:space="preserve">53532</t>
  </si>
  <si>
    <t xml:space="preserve">53532-990-L</t>
  </si>
  <si>
    <t xml:space="preserve">SKU-50001</t>
  </si>
  <si>
    <t xml:space="preserve">DD-100</t>
  </si>
  <si>
    <t xml:space="preserve">DD-100-L</t>
  </si>
  <si>
    <t xml:space="preserve">0000000050017</t>
  </si>
  <si>
    <t xml:space="preserve">size_curves  -  Size participation curves. Seeded from the merch team's Excel assortment tools; recalibrated from unconstrained demand.</t>
  </si>
  <si>
    <t xml:space="preserve">Populated by: MANUAL (migrated from team Excel), then AI-recalibrated   |   MANUALLY MANAGED   |   Dummy data - illustrative only</t>
  </si>
  <si>
    <t xml:space="preserve">Mens alpha tops standard</t>
  </si>
  <si>
    <t xml:space="preserve">Mens boot standard</t>
  </si>
  <si>
    <t xml:space="preserve">7</t>
  </si>
  <si>
    <t xml:space="preserve">8</t>
  </si>
  <si>
    <t xml:space="preserve">9</t>
  </si>
  <si>
    <t xml:space="preserve">10</t>
  </si>
  <si>
    <t xml:space="preserve">10.5</t>
  </si>
  <si>
    <t xml:space="preserve">11</t>
  </si>
  <si>
    <t xml:space="preserve">12</t>
  </si>
  <si>
    <t xml:space="preserve">13</t>
  </si>
  <si>
    <t xml:space="preserve">14</t>
  </si>
  <si>
    <t xml:space="preserve">Mens waist/inseam standard</t>
  </si>
  <si>
    <t xml:space="preserve">36x32</t>
  </si>
  <si>
    <t xml:space="preserve">38x30</t>
  </si>
  <si>
    <t xml:space="preserve">40x30</t>
  </si>
  <si>
    <t xml:space="preserve">Other</t>
  </si>
  <si>
    <t xml:space="preserve">seasonality_curves  -  Demand indices by category (monthly shown; production runs weekly). 1.00 = average period.</t>
  </si>
  <si>
    <t xml:space="preserve">Populated by: Computed from 3+ yrs sales history   |   Dummy data - illustrative only</t>
  </si>
  <si>
    <t xml:space="preserve">Rainwear (NorCal/WA rain season)</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</si>
  <si>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</si>
  <si>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</si>
  <si>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</si>
  <si>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</si>
  <si>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</si>
  <si>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</si>
  <si>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</si>
  <si>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</si>
  <si>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</si>
  <si>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</si>
  <si>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</si>
  <si>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</si>
  <si>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Cold weather gear</t>
  </si>
  <si>
    <t xml:space="preserve">Tees (summer bump)</t>
  </si>
  <si>
    <t xml:space="preserve">Boots (fall trade bump)</t>
  </si>
  <si>
    <t xml:space="preserve">Flat/evergreen</t>
  </si>
  <si>
    <t xml:space="preserve">All</t>
  </si>
  <si>
    <t xml:space="preserve">product_tags  -  Open tag system capturing purchase-decision context: weather response, trade/vertical, compliance, program flags.</t>
  </si>
  <si>
    <t xml:space="preserve">Populated by: MANUAL curation + AI-suggested from history   |   MANUALLY MANAGED   |   Dummy data - illustrative only</t>
  </si>
  <si>
    <t xml:space="preserve">TAG-001</t>
  </si>
  <si>
    <t xml:space="preserve">Category</t>
  </si>
  <si>
    <t xml:space="preserve">WeatherResponse</t>
  </si>
  <si>
    <t xml:space="preserve">RainSurge</t>
  </si>
  <si>
    <t xml:space="preserve">Validated</t>
  </si>
  <si>
    <t xml:space="preserve">TAG-002</t>
  </si>
  <si>
    <t xml:space="preserve">RainLift-Waterproof</t>
  </si>
  <si>
    <t xml:space="preserve">TAG-003</t>
  </si>
  <si>
    <t xml:space="preserve">Style</t>
  </si>
  <si>
    <t xml:space="preserve">AI-suggested</t>
  </si>
  <si>
    <t xml:space="preserve">TAG-004</t>
  </si>
  <si>
    <t xml:space="preserve">ColdSnap</t>
  </si>
  <si>
    <t xml:space="preserve">TAG-005</t>
  </si>
  <si>
    <t xml:space="preserve">Trade</t>
  </si>
  <si>
    <t xml:space="preserve">Healthcare</t>
  </si>
  <si>
    <t xml:space="preserve">TAG-006</t>
  </si>
  <si>
    <t xml:space="preserve">Compliance</t>
  </si>
  <si>
    <t xml:space="preserve">ASTM-F2413 CarbonMAX</t>
  </si>
  <si>
    <t xml:space="preserve">TAG-007</t>
  </si>
  <si>
    <t xml:space="preserve">ANSI-107 HiVis</t>
  </si>
  <si>
    <t xml:space="preserve">TAG-008</t>
  </si>
  <si>
    <t xml:space="preserve">Program</t>
  </si>
  <si>
    <t xml:space="preserve">CrewRewards-Core</t>
  </si>
  <si>
    <t xml:space="preserve">TAG-009</t>
  </si>
  <si>
    <t xml:space="preserve">Construction</t>
  </si>
  <si>
    <t xml:space="preserve">TAG-010</t>
  </si>
  <si>
    <t xml:space="preserve">Agriculture</t>
  </si>
  <si>
    <t xml:space="preserve">store_sku_params  -  The replenishment control table: min/max, reorder point, safety stock, review dates per store x SKU.</t>
  </si>
  <si>
    <t xml:space="preserve">Populated by: App-managed (seeded from current ERP min/max)   |   Dummy data - illustrative only</t>
  </si>
  <si>
    <t xml:space="preserve">2026-02-15</t>
  </si>
  <si>
    <t xml:space="preserve">2026-06-01</t>
  </si>
  <si>
    <t xml:space="preserve">System-suggested</t>
  </si>
  <si>
    <t xml:space="preserve">price_master  -  Effective-dated cost and retail. Vendor price updates land here and drive retag tasks to stores.</t>
  </si>
  <si>
    <t xml:space="preserve">Populated by: ERP + vendor price files (832/portal/email)   |   Dummy data - illustrative only</t>
  </si>
  <si>
    <t xml:space="preserve">Regular</t>
  </si>
  <si>
    <t xml:space="preserve">2026-08-01</t>
  </si>
  <si>
    <t xml:space="preserve">2026-03-01</t>
  </si>
  <si>
    <t xml:space="preserve">Markdown</t>
  </si>
  <si>
    <t xml:space="preserve">Markdown engine</t>
  </si>
  <si>
    <t xml:space="preserve">markdown_policy  -  Markdown ladder rules by lifecycle/category. The optimizer tests timing/depth changes (e.g., wait 4 weeks before 20%).</t>
  </si>
  <si>
    <t xml:space="preserve">Populated by: MANUAL policy + AI optimization   |   MANUALLY MANAGED   |   Dummy data - illustrative only</t>
  </si>
  <si>
    <t xml:space="preserve">MD-001</t>
  </si>
  <si>
    <t xml:space="preserve">Seasonal Rainwear</t>
  </si>
  <si>
    <t xml:space="preserve">Sell-through &lt; 60% at season week 10</t>
  </si>
  <si>
    <t xml:space="preserve">20% off wk 10</t>
  </si>
  <si>
    <t xml:space="preserve">30% off wk 14</t>
  </si>
  <si>
    <t xml:space="preserve">50% off wk 18</t>
  </si>
  <si>
    <t xml:space="preserve">MD-002</t>
  </si>
  <si>
    <t xml:space="preserve">Seasonal Insulated</t>
  </si>
  <si>
    <t xml:space="preserve">Sell-through &lt; 55% at Jan wk 2</t>
  </si>
  <si>
    <t xml:space="preserve">25% off</t>
  </si>
  <si>
    <t xml:space="preserve">40% off +4wk</t>
  </si>
  <si>
    <t xml:space="preserve">Clearance +8wk</t>
  </si>
  <si>
    <t xml:space="preserve">MD-003</t>
  </si>
  <si>
    <t xml:space="preserve">Evergreen discontinued colors</t>
  </si>
  <si>
    <t xml:space="preserve">Vendor discontinues colorway</t>
  </si>
  <si>
    <t xml:space="preserve">15% off immediate</t>
  </si>
  <si>
    <t xml:space="preserve">30% off +6wk</t>
  </si>
  <si>
    <t xml:space="preserve">Transfer to outlet/truck</t>
  </si>
  <si>
    <t xml:space="preserve">MD-004</t>
  </si>
  <si>
    <t xml:space="preserve">Rainwear TEST-B (delayed)</t>
  </si>
  <si>
    <t xml:space="preserve">Same as MD-001 but wait +4 wks</t>
  </si>
  <si>
    <t xml:space="preserve">20% off wk 14</t>
  </si>
  <si>
    <t xml:space="preserve">30% off wk 18</t>
  </si>
  <si>
    <t xml:space="preserve">50% off wk 22</t>
  </si>
  <si>
    <t xml:space="preserve">Testing</t>
  </si>
  <si>
    <t xml:space="preserve">fact_sales_daily  -  POS sales at store x SKU x day. margin_dollars is computed (formula in sample).</t>
  </si>
  <si>
    <t xml:space="preserve">Populated by: POS (daily feed)   |   Dummy data - illustrative only</t>
  </si>
  <si>
    <t xml:space="preserve">2026-07-06</t>
  </si>
  <si>
    <t xml:space="preserve">2026-07-07</t>
  </si>
  <si>
    <t xml:space="preserve">2026-07-09</t>
  </si>
  <si>
    <t xml:space="preserve">2026-07-10</t>
  </si>
  <si>
    <t xml:space="preserve">fact_inventory_daily  -  On-hand / on-order / in-transit by store x SKU x day. Drives break detection against size curves.</t>
  </si>
  <si>
    <t xml:space="preserve">Populated by: ERP perpetual inventory (daily snapshot)   |   Dummy data - illustrative only</t>
  </si>
  <si>
    <t xml:space="preserve">2026-07-13</t>
  </si>
  <si>
    <t xml:space="preserve">2026-07-24</t>
  </si>
  <si>
    <t xml:space="preserve">2026-07-17</t>
  </si>
  <si>
    <t xml:space="preserve">2026-08-02</t>
  </si>
  <si>
    <t xml:space="preserve">2026-07-19</t>
  </si>
  <si>
    <t xml:space="preserve">2026-10-01</t>
  </si>
  <si>
    <t xml:space="preserve">2026-07-18</t>
  </si>
  <si>
    <t xml:space="preserve">2026-08-20</t>
  </si>
  <si>
    <t xml:space="preserve">po_header  -  Direct-to-store PO model: one master PO per vendor buy, child mini-POs per ship-to store. Status tracks lifecycle incl. changes/cancels.</t>
  </si>
  <si>
    <t xml:space="preserve">Populated by: ERP / SPS EDI 850-855   |   Dummy data - illustrative only</t>
  </si>
  <si>
    <t xml:space="preserve">MPO-2026-0142</t>
  </si>
  <si>
    <t xml:space="preserve">Master</t>
  </si>
  <si>
    <t xml:space="preserve">Replenishment</t>
  </si>
  <si>
    <t xml:space="preserve">2026-06-22</t>
  </si>
  <si>
    <t xml:space="preserve">PartialReceived</t>
  </si>
  <si>
    <t xml:space="preserve">PO-0142-S01</t>
  </si>
  <si>
    <t xml:space="preserve">Received</t>
  </si>
  <si>
    <t xml:space="preserve">PO-0142-S02</t>
  </si>
  <si>
    <t xml:space="preserve">PO-0142-S09</t>
  </si>
  <si>
    <t xml:space="preserve">AcceptedWithChanges</t>
  </si>
  <si>
    <t xml:space="preserve">MPO-2026-0157</t>
  </si>
  <si>
    <t xml:space="preserve">PO-0157-S01</t>
  </si>
  <si>
    <t xml:space="preserve">PO-0157-S02</t>
  </si>
  <si>
    <t xml:space="preserve">MPO-2026-0161</t>
  </si>
  <si>
    <t xml:space="preserve">2026-07-02</t>
  </si>
  <si>
    <t xml:space="preserve">2026-09-15</t>
  </si>
  <si>
    <t xml:space="preserve">2026-10-15</t>
  </si>
  <si>
    <t xml:space="preserve">Pending</t>
  </si>
  <si>
    <t xml:space="preserve">PO-0161-S09</t>
  </si>
  <si>
    <t xml:space="preserve">MPO-2026-0163</t>
  </si>
  <si>
    <t xml:space="preserve">OpportunityBuy</t>
  </si>
  <si>
    <t xml:space="preserve">po_line  -  PO lines at SKU grain. qty_open is computed.</t>
  </si>
  <si>
    <t xml:space="preserve">Populated by: ERP / SPS EDI 850   |   Dummy data - illustrative only</t>
  </si>
  <si>
    <t xml:space="preserve">receiver_header  -  Store-level receipts. Checked in at the store today (electronic); matched against ASN where vendor sends 856.</t>
  </si>
  <si>
    <t xml:space="preserve">Populated by: Store receiving (ERP, electronic) / EDI 856 ASN match   |   Dummy data - illustrative only</t>
  </si>
  <si>
    <t xml:space="preserve">RCV-88231</t>
  </si>
  <si>
    <t xml:space="preserve">2026-07-03</t>
  </si>
  <si>
    <t xml:space="preserve">M. Alvarez</t>
  </si>
  <si>
    <t xml:space="preserve">Complete</t>
  </si>
  <si>
    <t xml:space="preserve">RCV-88240</t>
  </si>
  <si>
    <t xml:space="preserve">2026-07-05</t>
  </si>
  <si>
    <t xml:space="preserve">J. Kim</t>
  </si>
  <si>
    <t xml:space="preserve">Discrepancy</t>
  </si>
  <si>
    <t xml:space="preserve">RCV-88274</t>
  </si>
  <si>
    <t xml:space="preserve">2026-07-12</t>
  </si>
  <si>
    <t xml:space="preserve">Partial</t>
  </si>
  <si>
    <t xml:space="preserve">receiver_line  -  Receipt lines. Short-ships and damages surface here and feed the 3-way match.</t>
  </si>
  <si>
    <t xml:space="preserve">Populated by: Store receiving (ERP)   |   Dummy data - illustrative only</t>
  </si>
  <si>
    <t xml:space="preserve">Short ship - 4 units missing vs ASN</t>
  </si>
  <si>
    <t xml:space="preserve">1 unit damaged in carton 2</t>
  </si>
  <si>
    <t xml:space="preserve">Backorder balance expected next week</t>
  </si>
  <si>
    <t xml:space="preserve">invoice_header  -  Vendor invoices. Master statement groups many store-level invoices (the 'master invoice + mini-POs' reality).</t>
  </si>
  <si>
    <t xml:space="preserve">Populated by: SPS EDI 810 / AP system   |   Dummy data - illustrative only</t>
  </si>
  <si>
    <t xml:space="preserve">INV-77102</t>
  </si>
  <si>
    <t xml:space="preserve">STMT-C-2026-07</t>
  </si>
  <si>
    <t xml:space="preserve">2026-09-01</t>
  </si>
  <si>
    <t xml:space="preserve">Matched</t>
  </si>
  <si>
    <t xml:space="preserve">INV-77103</t>
  </si>
  <si>
    <t xml:space="preserve">2026-09-03</t>
  </si>
  <si>
    <t xml:space="preserve">Exception</t>
  </si>
  <si>
    <t xml:space="preserve">INV-77890</t>
  </si>
  <si>
    <t xml:space="preserve">STMT-W-2026-07</t>
  </si>
  <si>
    <t xml:space="preserve">2026-09-10</t>
  </si>
  <si>
    <t xml:space="preserve">invoice_line  -  Invoice lines at SKU grain; the third leg of the 3-way match.</t>
  </si>
  <si>
    <t xml:space="preserve">threeway_match  -  3-way reconciliation engine output: PO vs receiver vs invoice at line level, with root-cause codes and AI-suggested resolutions.</t>
  </si>
  <si>
    <t xml:space="preserve">Populated by: Computed nightly by app   |   Dummy data - illustrative only</t>
  </si>
  <si>
    <t xml:space="preserve">3WM-5501</t>
  </si>
  <si>
    <t xml:space="preserve">Auto-clear: all three legs agree</t>
  </si>
  <si>
    <t xml:space="preserve">AutoCleared</t>
  </si>
  <si>
    <t xml:space="preserve">3WM-5502</t>
  </si>
  <si>
    <t xml:space="preserve">QtyShort</t>
  </si>
  <si>
    <t xml:space="preserve">Debit memo for 4 short-shipped units @ $8.91; request corrected invoice</t>
  </si>
  <si>
    <t xml:space="preserve">PendingReview</t>
  </si>
  <si>
    <t xml:space="preserve">3WM-5503</t>
  </si>
  <si>
    <t xml:space="preserve">1 damaged unit: file vendor damage claim, photo attached at receiving</t>
  </si>
  <si>
    <t xml:space="preserve">3WM-5504</t>
  </si>
  <si>
    <t xml:space="preserve">PriceVariance</t>
  </si>
  <si>
    <t xml:space="preserve">Price is $2/pr over PO and 2 units not yet received: hold invoice, pay on balance receipt at PO cost</t>
  </si>
  <si>
    <t xml:space="preserve">DebitMemoSent</t>
  </si>
  <si>
    <t xml:space="preserve">3WM-5505</t>
  </si>
  <si>
    <t xml:space="preserve">FreightUnexpected</t>
  </si>
  <si>
    <t xml:space="preserve">Freight billed under prepaid minimum: verify order total vs $3,000 prepaid threshold</t>
  </si>
  <si>
    <t xml:space="preserve">transfer_orders  -  Store-to-store size rebalancing: consolidate broken size runs before ordering new inventory.</t>
  </si>
  <si>
    <t xml:space="preserve">Populated by: App-generated, executed in ERP   |   Dummy data - illustrative only</t>
  </si>
  <si>
    <t xml:space="preserve">TR-3301</t>
  </si>
  <si>
    <t xml:space="preserve">SizeRebalance</t>
  </si>
  <si>
    <t xml:space="preserve">2026-07-11</t>
  </si>
  <si>
    <t xml:space="preserve">InTransit</t>
  </si>
  <si>
    <t xml:space="preserve">TR-3302</t>
  </si>
  <si>
    <t xml:space="preserve">Approved</t>
  </si>
  <si>
    <t xml:space="preserve">TR-3303</t>
  </si>
  <si>
    <t xml:space="preserve">Suggested</t>
  </si>
  <si>
    <t xml:space="preserve">TR-3304</t>
  </si>
  <si>
    <t xml:space="preserve">Truck stocking</t>
  </si>
  <si>
    <t xml:space="preserve">TR-3305</t>
  </si>
  <si>
    <t xml:space="preserve">vendor_ats  -  Vendor Available-to-Sell snapshots, matched to internal SKUs via item_crossref. Capture method varies by vendor tier.</t>
  </si>
  <si>
    <t xml:space="preserve">Populated by: SPS EDI 846 / vendor portals / manual email   |   Dummy data - illustrative only</t>
  </si>
  <si>
    <t xml:space="preserve">Hanson KY</t>
  </si>
  <si>
    <t xml:space="preserve">Howard City MI</t>
  </si>
  <si>
    <t xml:space="preserve">2026-08-04</t>
  </si>
  <si>
    <t xml:space="preserve">PITBOSS-10M</t>
  </si>
  <si>
    <t xml:space="preserve">Ontario CA</t>
  </si>
  <si>
    <t xml:space="preserve">Auburn WA</t>
  </si>
  <si>
    <t xml:space="preserve">Stockton CA</t>
  </si>
  <si>
    <t xml:space="preserve">weather_daily  -  Weather by climate zone: the rain-surge signal for workwear (boots, rainwear surge on rain events).</t>
  </si>
  <si>
    <t xml:space="preserve">Populated by: NOAA/NWS API (history + 10-day forecast)   |   Dummy data - illustrative only</t>
  </si>
  <si>
    <t xml:space="preserve">History</t>
  </si>
  <si>
    <t xml:space="preserve">Forecast</t>
  </si>
  <si>
    <t xml:space="preserve">store_traffic_daily  -  Daily door counts; converts with sales to conversion rate, a context feature for demand models.</t>
  </si>
  <si>
    <t xml:space="preserve">Populated by: Door traffic counters   |   Dummy data - illustrative only</t>
  </si>
  <si>
    <t xml:space="preserve">demand_forecast  -  Weekly unit forecast by store x SKU, blending seasonality, weather, traffic, promos. Versioned by model run.</t>
  </si>
  <si>
    <t xml:space="preserve">Populated by: Computed (forecast engine)   |   Dummy data - illustrative only</t>
  </si>
  <si>
    <t xml:space="preserve">DF-v0.9-2026.28</t>
  </si>
  <si>
    <t xml:space="preserve">replen_suggestions  -  Suggested orders/actions: buy, hold, transfer-first. Consolidation logic rolls suggestions up to master POs to hit tier breaks.</t>
  </si>
  <si>
    <t xml:space="preserve">Populated by: Computed (replenishment engine)   |   Dummy data - illustrative only</t>
  </si>
  <si>
    <t xml:space="preserve">RS-9001</t>
  </si>
  <si>
    <t xml:space="preserve">Order</t>
  </si>
  <si>
    <t xml:space="preserve">Below ROP; curve shows L is meat size</t>
  </si>
  <si>
    <t xml:space="preserve">Rolls into 288-unit Carhartt tier (OPP-2026-011)</t>
  </si>
  <si>
    <t xml:space="preserve">RS-9002</t>
  </si>
  <si>
    <t xml:space="preserve">TransferFirst</t>
  </si>
  <si>
    <t xml:space="preserve">S02 transfer in transit covers 2 units; order balance</t>
  </si>
  <si>
    <t xml:space="preserve">RS-9003</t>
  </si>
  <si>
    <t xml:space="preserve">Rain event forecast Jul 18-19; weather-adjusted burn</t>
  </si>
  <si>
    <t xml:space="preserve">Preseason book pricing available (OPP-2026-013)</t>
  </si>
  <si>
    <t xml:space="preserve">RS-9004</t>
  </si>
  <si>
    <t xml:space="preserve">ExpediteCheck</t>
  </si>
  <si>
    <t xml:space="preserve">Stocked out; vendor ATS = 0, next avail 8/4</t>
  </si>
  <si>
    <t xml:space="preserve">Evaluate closeout OPP-2026-012 as substitute</t>
  </si>
  <si>
    <t xml:space="preserve">RS-9005</t>
  </si>
  <si>
    <t xml:space="preserve">Hold</t>
  </si>
  <si>
    <t xml:space="preserve">Above max after slow 4 weeks</t>
  </si>
  <si>
    <t xml:space="preserve">stockout_events  -  Stockout log with estimated lost sales - the key value-driver metric for in-stock management.</t>
  </si>
  <si>
    <t xml:space="preserve">Populated by: Computed from inventory + forecast   |   Dummy data - illustrative only</t>
  </si>
  <si>
    <t xml:space="preserve">SO-1201</t>
  </si>
  <si>
    <t xml:space="preserve">LateVendor</t>
  </si>
  <si>
    <t xml:space="preserve">SO-1202</t>
  </si>
  <si>
    <t xml:space="preserve">2026-06-11</t>
  </si>
  <si>
    <t xml:space="preserve">ROPTooLow</t>
  </si>
  <si>
    <t xml:space="preserve">SO-1203</t>
  </si>
  <si>
    <t xml:space="preserve">DemandSpike</t>
  </si>
  <si>
    <t xml:space="preserve">SO-1204</t>
  </si>
  <si>
    <t xml:space="preserve">ShortShip</t>
  </si>
  <si>
    <t xml:space="preserve">SO-1205</t>
  </si>
  <si>
    <t xml:space="preserve">2026-05-20</t>
  </si>
  <si>
    <t xml:space="preserve">2026-05-29</t>
  </si>
  <si>
    <t xml:space="preserve">price_change_events  -  Vendor price updates and internal markdowns; each event spawns store tasks (retag lists, label files) and LLM-drafted comms.</t>
  </si>
  <si>
    <t xml:space="preserve">Populated by: Vendor price files -&gt; app -&gt; ERP + store tasks   |   Dummy data - illustrative only</t>
  </si>
  <si>
    <t xml:space="preserve">PC-501</t>
  </si>
  <si>
    <t xml:space="preserve">VendorIncrease</t>
  </si>
  <si>
    <t xml:space="preserve">Carhartt fall price list: K87 +5.5%</t>
  </si>
  <si>
    <t xml:space="preserve">COMM-101</t>
  </si>
  <si>
    <t xml:space="preserve">PC-502</t>
  </si>
  <si>
    <t xml:space="preserve">Rainwear MD-001 step 1: 20% off</t>
  </si>
  <si>
    <t xml:space="preserve">COMM-102</t>
  </si>
  <si>
    <t xml:space="preserve">PC-503</t>
  </si>
  <si>
    <t xml:space="preserve">Dickies 874 program +3%</t>
  </si>
  <si>
    <t xml:space="preserve">COMM-103</t>
  </si>
  <si>
    <t xml:space="preserve">PC-504</t>
  </si>
  <si>
    <t xml:space="preserve">PromoStart</t>
  </si>
  <si>
    <t xml:space="preserve">Wolverine sock/vest promo bundle</t>
  </si>
  <si>
    <t xml:space="preserve">COMM-104</t>
  </si>
  <si>
    <t xml:space="preserve">store_tasks  -  Store-level task checklist with due dates and completion tracking - the Team Communications backbone.</t>
  </si>
  <si>
    <t xml:space="preserve">Populated by: App-generated (workflow engine)   |   Dummy data - illustrative only</t>
  </si>
  <si>
    <t xml:space="preserve">TSK-7001</t>
  </si>
  <si>
    <t xml:space="preserve">Retag</t>
  </si>
  <si>
    <t xml:space="preserve">Retag 148 Carhartt SKUs - print label file LF-PC501-S01</t>
  </si>
  <si>
    <t xml:space="preserve">TSK-7002</t>
  </si>
  <si>
    <t xml:space="preserve">Retag 148 Carhartt SKUs - print label file LF-PC501-S02</t>
  </si>
  <si>
    <t xml:space="preserve">TSK-7003</t>
  </si>
  <si>
    <t xml:space="preserve">MarkdownLabels</t>
  </si>
  <si>
    <t xml:space="preserve">Print markdown labels: 36 rainwear SKUs to 20% off</t>
  </si>
  <si>
    <t xml:space="preserve">Done</t>
  </si>
  <si>
    <t xml:space="preserve">K. Ngo</t>
  </si>
  <si>
    <t xml:space="preserve">TSK-7004</t>
  </si>
  <si>
    <t xml:space="preserve">ReceiveCheck</t>
  </si>
  <si>
    <t xml:space="preserve">Confirm short-ship count on PO-0142-S02 (4 units)</t>
  </si>
  <si>
    <t xml:space="preserve">TSK-7005</t>
  </si>
  <si>
    <t xml:space="preserve">TransferPick</t>
  </si>
  <si>
    <t xml:space="preserve">Pick 4x K87 Carbon Heather M for transfer from S03</t>
  </si>
  <si>
    <t xml:space="preserve">2026-07-14</t>
  </si>
  <si>
    <t xml:space="preserve">InProgress</t>
  </si>
  <si>
    <t xml:space="preserve">TSK-7006</t>
  </si>
  <si>
    <t xml:space="preserve">PriceAck</t>
  </si>
  <si>
    <t xml:space="preserve">Acknowledge Dickies 9/1 price increase - tags print 8/29</t>
  </si>
  <si>
    <t xml:space="preserve">2026-08-29</t>
  </si>
  <si>
    <t xml:space="preserve">comms_log  -  LLM-drafted communications to store ops and vendors, with human approval before send.</t>
  </si>
  <si>
    <t xml:space="preserve">Populated by: App (LLM-drafted, human-approved)   |   Dummy data - illustrative only</t>
  </si>
  <si>
    <t xml:space="preserve">StoreOps</t>
  </si>
  <si>
    <t xml:space="preserve">App feed + Email</t>
  </si>
  <si>
    <t xml:space="preserve">Carhartt 8/1 price increase: what changes in your store</t>
  </si>
  <si>
    <t xml:space="preserve">LLM-v2</t>
  </si>
  <si>
    <t xml:space="preserve">T. Boyd (Merch Mgr)</t>
  </si>
  <si>
    <t xml:space="preserve">App feed</t>
  </si>
  <si>
    <t xml:space="preserve">Rainwear markdown step 1 - label print checklist</t>
  </si>
  <si>
    <t xml:space="preserve">2026-06-14</t>
  </si>
  <si>
    <t xml:space="preserve">Buying team</t>
  </si>
  <si>
    <t xml:space="preserve">Dickies +3% on 9/1: margin impact and pre-buy option (240+ tier)</t>
  </si>
  <si>
    <t xml:space="preserve">Vendor</t>
  </si>
  <si>
    <t xml:space="preserve">Email</t>
  </si>
  <si>
    <t xml:space="preserve">Wolverine: confirm promo bundle ship windows for 7/15 set</t>
  </si>
  <si>
    <t xml:space="preserve">R. Diaz (Buyer)</t>
  </si>
  <si>
    <t xml:space="preserve">experiments  -  A/B tests across stores: stockout tolerance, markdown timing, ROP changes. AI summarizes results and recommends rollout.</t>
  </si>
  <si>
    <t xml:space="preserve">Populated by: App (experiment engine)   |   Dummy data - illustrative only</t>
  </si>
  <si>
    <t xml:space="preserve">EXP-001</t>
  </si>
  <si>
    <t xml:space="preserve">Being out of size M tees for &lt;=3 days does not depress style-level sales</t>
  </si>
  <si>
    <t xml:space="preserve">Test: S03,S08 | Control: S01,S02</t>
  </si>
  <si>
    <t xml:space="preserve">2026-05-01</t>
  </si>
  <si>
    <t xml:space="preserve">Style-level units/wk</t>
  </si>
  <si>
    <t xml:space="preserve">-6.2% test vs control</t>
  </si>
  <si>
    <t xml:space="preserve">Meat-size breaks DO depress style sales within 3 days; adjacent-size substitution only 22%. Keep aggressive ROP on meat sizes.</t>
  </si>
  <si>
    <t xml:space="preserve">Abandon</t>
  </si>
  <si>
    <t xml:space="preserve">EXP-002</t>
  </si>
  <si>
    <t xml:space="preserve">Waiting 4 extra weeks before first rainwear markdown preserves margin without killing sell-through</t>
  </si>
  <si>
    <t xml:space="preserve">Test: S05,S06 (MD-004) | Control: S09,S10 (MD-001)</t>
  </si>
  <si>
    <t xml:space="preserve">2026-04-15</t>
  </si>
  <si>
    <t xml:space="preserve">Season gross margin $</t>
  </si>
  <si>
    <t xml:space="preserve">+4.1% margin, -2% sell-through</t>
  </si>
  <si>
    <t xml:space="preserve">Delayed ladder wins in coastal stores; test in Puget zone before chain-wide rollout.</t>
  </si>
  <si>
    <t xml:space="preserve">Extend</t>
  </si>
  <si>
    <t xml:space="preserve">EXP-003</t>
  </si>
  <si>
    <t xml:space="preserve">Weather-triggered boot endcap increases rain-week conversion</t>
  </si>
  <si>
    <t xml:space="preserve">Test: S09 | Control: S10</t>
  </si>
  <si>
    <t xml:space="preserve">Conversion on rain days</t>
  </si>
  <si>
    <t xml:space="preserve">+3.4 pts on rain days</t>
  </si>
  <si>
    <t xml:space="preserve">Strong effect; automate endcap task on 3-day rain forecast trigger.</t>
  </si>
  <si>
    <t xml:space="preserve">Rollout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</si>
</sst>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sz val="11"/>
      <color rgb="FF555555"/>
      <name val="Arial"/>
      <family val="0"/>
      <charset val="1"/>
    </font>
    <font>
      <sz val="10"/>
      <name val="Arial"/>
      <family val="0"/>
      <charset val="1"/>
    </font>
    <font>
      <b val="true"/>
      <sz val="11"/>
      <color rgb="FF2E5BFF"/>
      <name val="Arial"/>
      <family val="0"/>
      <charset val="1"/>
    </font>
    <font>
      <b val="true"/>
      <sz val="10"/>
      <color rgb="FFFFFFFF"/>
      <name val="Arial"/>
      <family val="0"/>
      <charset val="1"/>
    </font>
    <font>
      <sz val="9"/>
      <name val="Arial"/>
      <family val="0"/>
      <charset val="1"/>
    </font>
    <font>
      <b val="true"/>
      <sz val="9"/>
      <color rgb="FF1F2A44"/>
      <name val="Arial"/>
      <family val="0"/>
      <charset val="1"/>
    </font>
    <font>
      <i val="true"/>
      <sz val="8"/>
      <color rgb="FF808080"/>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FCE4D6"/>
        <bgColor rgb="FFFFFFFF"/>
      </patternFill>
    </fill>
  </fills>
  <borders count="2">
    <border diagonalUp="false" diagonalDown="false">
      <left/>
      <right/>
      <top/>
      <bottom/>
      <diagonal/>
    </border>
    <border diagonalUp="false" diagonalDown="false">
      <left style="thin">
        <color rgb="FFD0D7E5"/>
      </left>
      <right style="thin">
        <color rgb="FFD0D7E5"/>
      </right>
      <top style="thin">
        <color rgb="FFD0D7E5"/>
      </top>
      <bottom style="thin">
        <color rgb="FFD0D7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2A44"/>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9E9E"/>
      <rgbColor rgb="FFC0C0C0"/>
      <rgbColor rgb="FF808080"/>
      <rgbColor rgb="FF9999FF"/>
      <rgbColor rgb="FF993366"/>
      <rgbColor rgb="FFFCE4D6"/>
      <rgbColor rgb="FFCCFFFF"/>
      <rgbColor rgb="FF660066"/>
      <rgbColor rgb="FFFF8080"/>
      <rgbColor rgb="FF0066CC"/>
      <rgbColor rgb="FFD0D7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5BFF"/>
      <rgbColor rgb="FF33CCCC"/>
      <rgbColor rgb="FF99CC00"/>
      <rgbColor rgb="FFFFCC00"/>
      <rgbColor rgb="FFFF9900"/>
      <rgbColor rgb="FFC55A11"/>
      <rgbColor rgb="FF7C4DBE"/>
      <rgbColor rgb="FF969696"/>
      <rgbColor rgb="FF003366"/>
      <rgbColor rgb="FF2E9E5B"/>
      <rgbColor rgb="FF003300"/>
      <rgbColor rgb="FF333300"/>
      <rgbColor rgb="FF993300"/>
      <rgbColor rgb="FF993366"/>
      <rgbColor rgb="FF555555"/>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4"/>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4"/>
    </row>
    <row r="18" customFormat="false" ht="15" hidden="false" customHeight="false" outlineLevel="0" collapsed="false">
      <c r="A18" s="3" t="s">
        <v>13</v>
      </c>
    </row>
    <row r="19" customFormat="false" ht="15" hidden="false" customHeight="false" outlineLevel="0" collapsed="false">
      <c r="A19" s="3" t="s">
        <v>14</v>
      </c>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52"/>
    <col collapsed="false" customWidth="true" hidden="false" outlineLevel="0" max="4" min="4" style="0" width="24"/>
    <col collapsed="false" customWidth="true" hidden="false" outlineLevel="0" max="5" min="5" style="0" width="52"/>
    <col collapsed="false" customWidth="true" hidden="false" outlineLevel="0" max="6" min="6" style="0" width="44"/>
    <col collapsed="false" customWidth="true" hidden="false" outlineLevel="0" max="7" min="7" style="0" width="26"/>
  </cols>
  <sheetData>
    <row r="1" customFormat="false" ht="15" hidden="false" customHeight="false" outlineLevel="0" collapsed="false">
      <c r="A1" s="5" t="s">
        <v>19</v>
      </c>
      <c r="B1" s="5" t="s">
        <v>20</v>
      </c>
      <c r="C1" s="5" t="s">
        <v>21</v>
      </c>
      <c r="D1" s="5" t="s">
        <v>22</v>
      </c>
      <c r="E1" s="5" t="s">
        <v>23</v>
      </c>
      <c r="F1" s="5" t="s">
        <v>24</v>
      </c>
      <c r="G1" s="5" t="s">
        <v>25</v>
      </c>
    </row>
    <row r="2" customFormat="false" ht="22.35" hidden="false" customHeight="false" outlineLevel="0" collapsed="false">
      <c r="A2" s="6" t="n">
        <v>1</v>
      </c>
      <c r="B2" s="6" t="s">
        <v>26</v>
      </c>
      <c r="C2" s="6" t="s">
        <v>27</v>
      </c>
      <c r="D2" s="6" t="s">
        <v>28</v>
      </c>
      <c r="E2" s="6" t="s">
        <v>29</v>
      </c>
      <c r="F2" s="6" t="s">
        <v>30</v>
      </c>
      <c r="G2" s="6" t="s">
        <v>31</v>
      </c>
    </row>
    <row r="3" customFormat="false" ht="32.8" hidden="false" customHeight="false" outlineLevel="0" collapsed="false">
      <c r="A3" s="6" t="n">
        <v>2</v>
      </c>
      <c r="B3" s="6" t="s">
        <v>32</v>
      </c>
      <c r="C3" s="6" t="s">
        <v>33</v>
      </c>
      <c r="D3" s="6" t="s">
        <v>34</v>
      </c>
      <c r="E3" s="6" t="s">
        <v>35</v>
      </c>
      <c r="F3" s="6" t="s">
        <v>36</v>
      </c>
      <c r="G3" s="6" t="s">
        <v>37</v>
      </c>
    </row>
    <row r="4" customFormat="false" ht="22.35" hidden="false" customHeight="false" outlineLevel="0" collapsed="false">
      <c r="A4" s="6" t="n">
        <v>3</v>
      </c>
      <c r="B4" s="6" t="s">
        <v>38</v>
      </c>
      <c r="C4" s="6" t="s">
        <v>39</v>
      </c>
      <c r="D4" s="6" t="s">
        <v>40</v>
      </c>
      <c r="E4" s="6" t="s">
        <v>41</v>
      </c>
      <c r="F4" s="6" t="s">
        <v>42</v>
      </c>
      <c r="G4" s="6" t="s">
        <v>43</v>
      </c>
    </row>
    <row r="5" customFormat="false" ht="22.35" hidden="false" customHeight="false" outlineLevel="0" collapsed="false">
      <c r="A5" s="6" t="n">
        <v>4</v>
      </c>
      <c r="B5" s="6" t="s">
        <v>44</v>
      </c>
      <c r="C5" s="6" t="s">
        <v>45</v>
      </c>
      <c r="D5" s="6" t="s">
        <v>46</v>
      </c>
      <c r="E5" s="6" t="s">
        <v>47</v>
      </c>
      <c r="F5" s="6" t="s">
        <v>48</v>
      </c>
      <c r="G5" s="6" t="s">
        <v>49</v>
      </c>
    </row>
    <row r="6" customFormat="false" ht="32.8" hidden="false" customHeight="false" outlineLevel="0" collapsed="false">
      <c r="A6" s="6" t="n">
        <v>5</v>
      </c>
      <c r="B6" s="6" t="s">
        <v>50</v>
      </c>
      <c r="C6" s="6" t="s">
        <v>51</v>
      </c>
      <c r="D6" s="6" t="s">
        <v>52</v>
      </c>
      <c r="E6" s="6" t="s">
        <v>53</v>
      </c>
      <c r="F6" s="6" t="s">
        <v>54</v>
      </c>
      <c r="G6" s="6" t="s">
        <v>55</v>
      </c>
    </row>
    <row r="7" customFormat="false" ht="22.35" hidden="false" customHeight="false" outlineLevel="0" collapsed="false">
      <c r="A7" s="6" t="n">
        <v>6</v>
      </c>
      <c r="B7" s="6" t="s">
        <v>56</v>
      </c>
      <c r="C7" s="6" t="s">
        <v>57</v>
      </c>
      <c r="D7" s="6" t="s">
        <v>58</v>
      </c>
      <c r="E7" s="6" t="s">
        <v>59</v>
      </c>
      <c r="F7" s="6" t="s">
        <v>60</v>
      </c>
      <c r="G7" s="6" t="s">
        <v>61</v>
      </c>
    </row>
    <row r="8" customFormat="false" ht="22.35" hidden="false" customHeight="false" outlineLevel="0" collapsed="false">
      <c r="A8" s="6" t="n">
        <v>7</v>
      </c>
      <c r="B8" s="6" t="s">
        <v>62</v>
      </c>
      <c r="C8" s="6" t="s">
        <v>63</v>
      </c>
      <c r="D8" s="6" t="s">
        <v>64</v>
      </c>
      <c r="E8" s="6" t="s">
        <v>65</v>
      </c>
      <c r="F8" s="6" t="s">
        <v>66</v>
      </c>
      <c r="G8" s="6" t="s">
        <v>67</v>
      </c>
    </row>
    <row r="9" customFormat="false" ht="22.35" hidden="false" customHeight="false" outlineLevel="0" collapsed="false">
      <c r="A9" s="6" t="n">
        <v>8</v>
      </c>
      <c r="B9" s="6" t="s">
        <v>68</v>
      </c>
      <c r="C9" s="6" t="s">
        <v>69</v>
      </c>
      <c r="D9" s="6" t="s">
        <v>70</v>
      </c>
      <c r="E9" s="6" t="s">
        <v>71</v>
      </c>
      <c r="F9" s="6" t="s">
        <v>72</v>
      </c>
      <c r="G9" s="6" t="s">
        <v>73</v>
      </c>
    </row>
    <row r="10" customFormat="false" ht="22.35" hidden="false" customHeight="false" outlineLevel="0" collapsed="false">
      <c r="A10" s="6" t="n">
        <v>9</v>
      </c>
      <c r="B10" s="6" t="s">
        <v>74</v>
      </c>
      <c r="C10" s="6" t="s">
        <v>75</v>
      </c>
      <c r="D10" s="6" t="s">
        <v>76</v>
      </c>
      <c r="E10" s="6" t="s">
        <v>77</v>
      </c>
      <c r="F10" s="6" t="s">
        <v>78</v>
      </c>
      <c r="G10" s="6" t="s">
        <v>79</v>
      </c>
    </row>
    <row r="11" customFormat="false" ht="22.35" hidden="false" customHeight="false" outlineLevel="0" collapsed="false">
      <c r="A11" s="6" t="n">
        <v>10</v>
      </c>
      <c r="B11" s="6" t="s">
        <v>80</v>
      </c>
      <c r="C11" s="6" t="s">
        <v>81</v>
      </c>
      <c r="D11" s="6" t="s">
        <v>82</v>
      </c>
      <c r="E11" s="6" t="s">
        <v>83</v>
      </c>
      <c r="F11" s="6" t="s">
        <v>84</v>
      </c>
      <c r="G11"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I3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22"/>
    <col collapsed="false" customWidth="true" hidden="false" outlineLevel="0" max="3" min="3" style="0" width="12"/>
    <col collapsed="false" customWidth="true" hidden="false" outlineLevel="0" max="4" min="4" style="0" width="26"/>
    <col collapsed="false" customWidth="true" hidden="false" outlineLevel="0" max="5" min="5" style="0" width="10"/>
    <col collapsed="false" customWidth="true" hidden="false" outlineLevel="0" max="6" min="6" style="0" width="8"/>
    <col collapsed="false" customWidth="true" hidden="false" outlineLevel="0" max="7" min="7" style="0" width="60"/>
    <col collapsed="false" customWidth="true" hidden="false" outlineLevel="0" max="8" min="8" style="0" width="40"/>
    <col collapsed="false" customWidth="true" hidden="false" outlineLevel="0" max="9" min="9" style="0" width="10"/>
  </cols>
  <sheetData>
    <row r="1" customFormat="false" ht="46.25" hidden="false" customHeight="false" outlineLevel="0" collapsed="false">
      <c r="A1" s="5" t="s">
        <v>86</v>
      </c>
      <c r="B1" s="5" t="s">
        <v>87</v>
      </c>
      <c r="C1" s="5" t="s">
        <v>88</v>
      </c>
      <c r="D1" s="5" t="s">
        <v>89</v>
      </c>
      <c r="E1" s="5" t="s">
        <v>90</v>
      </c>
      <c r="F1" s="5" t="s">
        <v>91</v>
      </c>
      <c r="G1" s="5" t="s">
        <v>92</v>
      </c>
      <c r="H1" s="5" t="s">
        <v>93</v>
      </c>
      <c r="I1" s="5" t="s">
        <v>94</v>
      </c>
    </row>
    <row r="2" customFormat="false" ht="15" hidden="false" customHeight="false" outlineLevel="0" collapsed="false">
      <c r="A2" s="6" t="s">
        <v>95</v>
      </c>
      <c r="B2" s="6" t="s">
        <v>95</v>
      </c>
      <c r="C2" s="6" t="s">
        <v>96</v>
      </c>
      <c r="D2" s="6" t="s">
        <v>97</v>
      </c>
      <c r="E2" s="6" t="s">
        <v>98</v>
      </c>
      <c r="F2" s="6" t="s">
        <v>99</v>
      </c>
      <c r="G2" s="6" t="s">
        <v>100</v>
      </c>
      <c r="H2" s="6" t="s">
        <v>101</v>
      </c>
      <c r="I2" s="6"/>
    </row>
    <row r="3" customFormat="false" ht="15" hidden="false" customHeight="false" outlineLevel="0" collapsed="false">
      <c r="A3" s="6" t="s">
        <v>95</v>
      </c>
      <c r="B3" s="6" t="s">
        <v>95</v>
      </c>
      <c r="C3" s="6" t="s">
        <v>96</v>
      </c>
      <c r="D3" s="6" t="s">
        <v>102</v>
      </c>
      <c r="E3" s="6" t="s">
        <v>98</v>
      </c>
      <c r="F3" s="6"/>
      <c r="G3" s="6" t="s">
        <v>103</v>
      </c>
      <c r="H3" s="6" t="s">
        <v>101</v>
      </c>
      <c r="I3" s="6"/>
    </row>
    <row r="4" customFormat="false" ht="15" hidden="false" customHeight="false" outlineLevel="0" collapsed="false">
      <c r="A4" s="6" t="s">
        <v>95</v>
      </c>
      <c r="B4" s="6" t="s">
        <v>95</v>
      </c>
      <c r="C4" s="6" t="s">
        <v>96</v>
      </c>
      <c r="D4" s="6" t="s">
        <v>104</v>
      </c>
      <c r="E4" s="6" t="s">
        <v>98</v>
      </c>
      <c r="F4" s="6"/>
      <c r="G4" s="6" t="s">
        <v>105</v>
      </c>
      <c r="H4" s="6" t="s">
        <v>101</v>
      </c>
      <c r="I4" s="6"/>
    </row>
    <row r="5" customFormat="false" ht="15" hidden="false" customHeight="false" outlineLevel="0" collapsed="false">
      <c r="A5" s="6" t="s">
        <v>95</v>
      </c>
      <c r="B5" s="6" t="s">
        <v>95</v>
      </c>
      <c r="C5" s="6" t="s">
        <v>96</v>
      </c>
      <c r="D5" s="6" t="s">
        <v>106</v>
      </c>
      <c r="E5" s="6" t="s">
        <v>98</v>
      </c>
      <c r="F5" s="6"/>
      <c r="G5" s="6" t="s">
        <v>107</v>
      </c>
      <c r="H5" s="6" t="s">
        <v>101</v>
      </c>
      <c r="I5" s="6"/>
    </row>
    <row r="6" customFormat="false" ht="15" hidden="false" customHeight="false" outlineLevel="0" collapsed="false">
      <c r="A6" s="6" t="s">
        <v>95</v>
      </c>
      <c r="B6" s="6" t="s">
        <v>95</v>
      </c>
      <c r="C6" s="6" t="s">
        <v>96</v>
      </c>
      <c r="D6" s="6" t="s">
        <v>108</v>
      </c>
      <c r="E6" s="6" t="s">
        <v>98</v>
      </c>
      <c r="F6" s="6"/>
      <c r="G6" s="6"/>
      <c r="H6" s="6" t="s">
        <v>101</v>
      </c>
      <c r="I6" s="6"/>
    </row>
    <row r="7" customFormat="false" ht="15" hidden="false" customHeight="false" outlineLevel="0" collapsed="false">
      <c r="A7" s="6" t="s">
        <v>95</v>
      </c>
      <c r="B7" s="6" t="s">
        <v>95</v>
      </c>
      <c r="C7" s="6" t="s">
        <v>96</v>
      </c>
      <c r="D7" s="6" t="s">
        <v>109</v>
      </c>
      <c r="E7" s="6" t="s">
        <v>98</v>
      </c>
      <c r="F7" s="6"/>
      <c r="G7" s="6"/>
      <c r="H7" s="6" t="s">
        <v>101</v>
      </c>
      <c r="I7" s="6"/>
    </row>
    <row r="8" customFormat="false" ht="15" hidden="false" customHeight="false" outlineLevel="0" collapsed="false">
      <c r="A8" s="6" t="s">
        <v>95</v>
      </c>
      <c r="B8" s="6" t="s">
        <v>95</v>
      </c>
      <c r="C8" s="6" t="s">
        <v>96</v>
      </c>
      <c r="D8" s="6" t="s">
        <v>110</v>
      </c>
      <c r="E8" s="6" t="s">
        <v>98</v>
      </c>
      <c r="F8" s="6"/>
      <c r="G8" s="6" t="s">
        <v>111</v>
      </c>
      <c r="H8" s="6" t="s">
        <v>101</v>
      </c>
      <c r="I8" s="6"/>
    </row>
    <row r="9" customFormat="false" ht="15" hidden="false" customHeight="false" outlineLevel="0" collapsed="false">
      <c r="A9" s="6" t="s">
        <v>95</v>
      </c>
      <c r="B9" s="6" t="s">
        <v>95</v>
      </c>
      <c r="C9" s="6" t="s">
        <v>96</v>
      </c>
      <c r="D9" s="6" t="s">
        <v>112</v>
      </c>
      <c r="E9" s="6" t="s">
        <v>113</v>
      </c>
      <c r="F9" s="6"/>
      <c r="G9" s="6" t="s">
        <v>114</v>
      </c>
      <c r="H9" s="6" t="s">
        <v>101</v>
      </c>
      <c r="I9" s="6"/>
    </row>
    <row r="10" customFormat="false" ht="15" hidden="false" customHeight="false" outlineLevel="0" collapsed="false">
      <c r="A10" s="6" t="s">
        <v>95</v>
      </c>
      <c r="B10" s="6" t="s">
        <v>95</v>
      </c>
      <c r="C10" s="6" t="s">
        <v>96</v>
      </c>
      <c r="D10" s="6" t="s">
        <v>115</v>
      </c>
      <c r="E10" s="6" t="s">
        <v>116</v>
      </c>
      <c r="F10" s="6"/>
      <c r="G10" s="6" t="s">
        <v>117</v>
      </c>
      <c r="H10" s="6" t="s">
        <v>101</v>
      </c>
      <c r="I10" s="6"/>
    </row>
    <row r="11" customFormat="false" ht="15" hidden="false" customHeight="false" outlineLevel="0" collapsed="false">
      <c r="A11" s="6" t="s">
        <v>95</v>
      </c>
      <c r="B11" s="6" t="s">
        <v>95</v>
      </c>
      <c r="C11" s="6" t="s">
        <v>96</v>
      </c>
      <c r="D11" s="6" t="s">
        <v>118</v>
      </c>
      <c r="E11" s="6" t="s">
        <v>119</v>
      </c>
      <c r="F11" s="6"/>
      <c r="G11" s="6"/>
      <c r="H11" s="6" t="s">
        <v>101</v>
      </c>
      <c r="I11" s="6"/>
    </row>
    <row r="12" customFormat="false" ht="15" hidden="false" customHeight="false" outlineLevel="0" collapsed="false">
      <c r="A12" s="6" t="s">
        <v>95</v>
      </c>
      <c r="B12" s="6" t="s">
        <v>95</v>
      </c>
      <c r="C12" s="6" t="s">
        <v>96</v>
      </c>
      <c r="D12" s="6" t="s">
        <v>120</v>
      </c>
      <c r="E12" s="6" t="s">
        <v>98</v>
      </c>
      <c r="F12" s="6"/>
      <c r="G12" s="6" t="s">
        <v>121</v>
      </c>
      <c r="H12" s="6" t="s">
        <v>101</v>
      </c>
      <c r="I12" s="6"/>
    </row>
    <row r="13" customFormat="false" ht="15" hidden="false" customHeight="false" outlineLevel="0" collapsed="false">
      <c r="A13" s="6" t="s">
        <v>122</v>
      </c>
      <c r="B13" s="6" t="s">
        <v>122</v>
      </c>
      <c r="C13" s="6" t="s">
        <v>96</v>
      </c>
      <c r="D13" s="6" t="s">
        <v>123</v>
      </c>
      <c r="E13" s="6" t="s">
        <v>98</v>
      </c>
      <c r="F13" s="6" t="s">
        <v>99</v>
      </c>
      <c r="G13" s="6"/>
      <c r="H13" s="6" t="s">
        <v>124</v>
      </c>
      <c r="I13" s="6"/>
    </row>
    <row r="14" customFormat="false" ht="15" hidden="false" customHeight="false" outlineLevel="0" collapsed="false">
      <c r="A14" s="6" t="s">
        <v>122</v>
      </c>
      <c r="B14" s="6" t="s">
        <v>122</v>
      </c>
      <c r="C14" s="6" t="s">
        <v>96</v>
      </c>
      <c r="D14" s="6" t="s">
        <v>125</v>
      </c>
      <c r="E14" s="6" t="s">
        <v>98</v>
      </c>
      <c r="F14" s="6"/>
      <c r="G14" s="6"/>
      <c r="H14" s="6" t="s">
        <v>124</v>
      </c>
      <c r="I14" s="6"/>
    </row>
    <row r="15" customFormat="false" ht="15" hidden="false" customHeight="false" outlineLevel="0" collapsed="false">
      <c r="A15" s="6" t="s">
        <v>122</v>
      </c>
      <c r="B15" s="6" t="s">
        <v>122</v>
      </c>
      <c r="C15" s="6" t="s">
        <v>96</v>
      </c>
      <c r="D15" s="6" t="s">
        <v>126</v>
      </c>
      <c r="E15" s="6" t="s">
        <v>98</v>
      </c>
      <c r="F15" s="6"/>
      <c r="G15" s="6" t="s">
        <v>127</v>
      </c>
      <c r="H15" s="6" t="s">
        <v>124</v>
      </c>
      <c r="I15" s="6"/>
    </row>
    <row r="16" customFormat="false" ht="15" hidden="false" customHeight="false" outlineLevel="0" collapsed="false">
      <c r="A16" s="6" t="s">
        <v>122</v>
      </c>
      <c r="B16" s="6" t="s">
        <v>122</v>
      </c>
      <c r="C16" s="6" t="s">
        <v>96</v>
      </c>
      <c r="D16" s="6" t="s">
        <v>128</v>
      </c>
      <c r="E16" s="6" t="s">
        <v>98</v>
      </c>
      <c r="F16" s="6"/>
      <c r="G16" s="6" t="s">
        <v>129</v>
      </c>
      <c r="H16" s="6" t="s">
        <v>124</v>
      </c>
      <c r="I16" s="6"/>
    </row>
    <row r="17" customFormat="false" ht="15" hidden="false" customHeight="false" outlineLevel="0" collapsed="false">
      <c r="A17" s="6" t="s">
        <v>122</v>
      </c>
      <c r="B17" s="6" t="s">
        <v>122</v>
      </c>
      <c r="C17" s="6" t="s">
        <v>96</v>
      </c>
      <c r="D17" s="6" t="s">
        <v>130</v>
      </c>
      <c r="E17" s="6" t="s">
        <v>113</v>
      </c>
      <c r="F17" s="6"/>
      <c r="G17" s="6" t="s">
        <v>131</v>
      </c>
      <c r="H17" s="6" t="s">
        <v>124</v>
      </c>
      <c r="I17" s="6"/>
    </row>
    <row r="18" customFormat="false" ht="15" hidden="false" customHeight="false" outlineLevel="0" collapsed="false">
      <c r="A18" s="6" t="s">
        <v>122</v>
      </c>
      <c r="B18" s="6" t="s">
        <v>122</v>
      </c>
      <c r="C18" s="6" t="s">
        <v>96</v>
      </c>
      <c r="D18" s="6" t="s">
        <v>132</v>
      </c>
      <c r="E18" s="6" t="s">
        <v>98</v>
      </c>
      <c r="F18" s="6"/>
      <c r="G18" s="6" t="s">
        <v>133</v>
      </c>
      <c r="H18" s="6" t="s">
        <v>124</v>
      </c>
      <c r="I18" s="6"/>
    </row>
    <row r="19" customFormat="false" ht="15" hidden="false" customHeight="false" outlineLevel="0" collapsed="false">
      <c r="A19" s="6" t="s">
        <v>122</v>
      </c>
      <c r="B19" s="6" t="s">
        <v>122</v>
      </c>
      <c r="C19" s="6" t="s">
        <v>96</v>
      </c>
      <c r="D19" s="6" t="s">
        <v>134</v>
      </c>
      <c r="E19" s="6" t="s">
        <v>98</v>
      </c>
      <c r="F19" s="6"/>
      <c r="G19" s="6" t="s">
        <v>135</v>
      </c>
      <c r="H19" s="6" t="s">
        <v>124</v>
      </c>
      <c r="I19" s="6"/>
    </row>
    <row r="20" customFormat="false" ht="15" hidden="false" customHeight="false" outlineLevel="0" collapsed="false">
      <c r="A20" s="6" t="s">
        <v>122</v>
      </c>
      <c r="B20" s="6" t="s">
        <v>122</v>
      </c>
      <c r="C20" s="6" t="s">
        <v>96</v>
      </c>
      <c r="D20" s="6" t="s">
        <v>136</v>
      </c>
      <c r="E20" s="6" t="s">
        <v>98</v>
      </c>
      <c r="F20" s="6"/>
      <c r="G20" s="6"/>
      <c r="H20" s="6" t="s">
        <v>124</v>
      </c>
      <c r="I20" s="6"/>
    </row>
    <row r="21" customFormat="false" ht="15" hidden="false" customHeight="false" outlineLevel="0" collapsed="false">
      <c r="A21" s="6" t="s">
        <v>122</v>
      </c>
      <c r="B21" s="6" t="s">
        <v>122</v>
      </c>
      <c r="C21" s="6" t="s">
        <v>96</v>
      </c>
      <c r="D21" s="6" t="s">
        <v>137</v>
      </c>
      <c r="E21" s="6" t="s">
        <v>98</v>
      </c>
      <c r="F21" s="6"/>
      <c r="G21" s="6"/>
      <c r="H21" s="6" t="s">
        <v>124</v>
      </c>
      <c r="I21" s="6"/>
    </row>
    <row r="22" customFormat="false" ht="15" hidden="false" customHeight="false" outlineLevel="0" collapsed="false">
      <c r="A22" s="6" t="s">
        <v>122</v>
      </c>
      <c r="B22" s="6" t="s">
        <v>122</v>
      </c>
      <c r="C22" s="6" t="s">
        <v>96</v>
      </c>
      <c r="D22" s="6" t="s">
        <v>120</v>
      </c>
      <c r="E22" s="6" t="s">
        <v>98</v>
      </c>
      <c r="F22" s="6"/>
      <c r="G22" s="6"/>
      <c r="H22" s="6" t="s">
        <v>124</v>
      </c>
      <c r="I22" s="6"/>
    </row>
    <row r="23" customFormat="false" ht="15" hidden="false" customHeight="false" outlineLevel="0" collapsed="false">
      <c r="A23" s="6" t="s">
        <v>138</v>
      </c>
      <c r="B23" s="6" t="s">
        <v>138</v>
      </c>
      <c r="C23" s="6" t="s">
        <v>96</v>
      </c>
      <c r="D23" s="6" t="s">
        <v>123</v>
      </c>
      <c r="E23" s="6" t="s">
        <v>98</v>
      </c>
      <c r="F23" s="6" t="s">
        <v>139</v>
      </c>
      <c r="G23" s="6"/>
      <c r="H23" s="6" t="s">
        <v>140</v>
      </c>
      <c r="I23" s="6"/>
    </row>
    <row r="24" customFormat="false" ht="15" hidden="false" customHeight="false" outlineLevel="0" collapsed="false">
      <c r="A24" s="6" t="s">
        <v>138</v>
      </c>
      <c r="B24" s="6" t="s">
        <v>138</v>
      </c>
      <c r="C24" s="6" t="s">
        <v>96</v>
      </c>
      <c r="D24" s="6" t="s">
        <v>141</v>
      </c>
      <c r="E24" s="6" t="s">
        <v>98</v>
      </c>
      <c r="F24" s="6"/>
      <c r="G24" s="6"/>
      <c r="H24" s="6" t="s">
        <v>140</v>
      </c>
      <c r="I24" s="6"/>
    </row>
    <row r="25" customFormat="false" ht="15" hidden="false" customHeight="false" outlineLevel="0" collapsed="false">
      <c r="A25" s="6" t="s">
        <v>138</v>
      </c>
      <c r="B25" s="6" t="s">
        <v>138</v>
      </c>
      <c r="C25" s="6" t="s">
        <v>96</v>
      </c>
      <c r="D25" s="6" t="s">
        <v>142</v>
      </c>
      <c r="E25" s="6" t="s">
        <v>116</v>
      </c>
      <c r="F25" s="6"/>
      <c r="G25" s="6"/>
      <c r="H25" s="6" t="s">
        <v>140</v>
      </c>
      <c r="I25" s="6"/>
    </row>
    <row r="26" customFormat="false" ht="15" hidden="false" customHeight="false" outlineLevel="0" collapsed="false">
      <c r="A26" s="6" t="s">
        <v>138</v>
      </c>
      <c r="B26" s="6" t="s">
        <v>138</v>
      </c>
      <c r="C26" s="6" t="s">
        <v>96</v>
      </c>
      <c r="D26" s="6" t="s">
        <v>143</v>
      </c>
      <c r="E26" s="6" t="s">
        <v>144</v>
      </c>
      <c r="F26" s="6"/>
      <c r="G26" s="6" t="s">
        <v>145</v>
      </c>
      <c r="H26" s="6" t="s">
        <v>140</v>
      </c>
      <c r="I26" s="6"/>
    </row>
    <row r="27" customFormat="false" ht="15" hidden="false" customHeight="false" outlineLevel="0" collapsed="false">
      <c r="A27" s="6" t="s">
        <v>138</v>
      </c>
      <c r="B27" s="6" t="s">
        <v>138</v>
      </c>
      <c r="C27" s="6" t="s">
        <v>96</v>
      </c>
      <c r="D27" s="6" t="s">
        <v>146</v>
      </c>
      <c r="E27" s="6" t="s">
        <v>116</v>
      </c>
      <c r="F27" s="6"/>
      <c r="G27" s="6"/>
      <c r="H27" s="6" t="s">
        <v>140</v>
      </c>
      <c r="I27" s="6"/>
    </row>
    <row r="28" customFormat="false" ht="15" hidden="false" customHeight="false" outlineLevel="0" collapsed="false">
      <c r="A28" s="6" t="s">
        <v>138</v>
      </c>
      <c r="B28" s="6" t="s">
        <v>138</v>
      </c>
      <c r="C28" s="6" t="s">
        <v>96</v>
      </c>
      <c r="D28" s="6" t="s">
        <v>147</v>
      </c>
      <c r="E28" s="6" t="s">
        <v>98</v>
      </c>
      <c r="F28" s="6"/>
      <c r="G28" s="6"/>
      <c r="H28" s="6" t="s">
        <v>140</v>
      </c>
      <c r="I28" s="6"/>
    </row>
    <row r="29" customFormat="false" ht="15" hidden="false" customHeight="false" outlineLevel="0" collapsed="false">
      <c r="A29" s="6" t="s">
        <v>138</v>
      </c>
      <c r="B29" s="6" t="s">
        <v>138</v>
      </c>
      <c r="C29" s="6" t="s">
        <v>96</v>
      </c>
      <c r="D29" s="6" t="s">
        <v>148</v>
      </c>
      <c r="E29" s="6" t="s">
        <v>98</v>
      </c>
      <c r="F29" s="6"/>
      <c r="G29" s="6"/>
      <c r="H29" s="6" t="s">
        <v>140</v>
      </c>
      <c r="I29" s="6"/>
    </row>
    <row r="30" customFormat="false" ht="22.35" hidden="false" customHeight="false" outlineLevel="0" collapsed="false">
      <c r="A30" s="6" t="s">
        <v>138</v>
      </c>
      <c r="B30" s="6" t="s">
        <v>138</v>
      </c>
      <c r="C30" s="6" t="s">
        <v>96</v>
      </c>
      <c r="D30" s="6" t="s">
        <v>149</v>
      </c>
      <c r="E30" s="6" t="s">
        <v>150</v>
      </c>
      <c r="F30" s="6"/>
      <c r="G30" s="6" t="s">
        <v>151</v>
      </c>
      <c r="H30" s="6" t="s">
        <v>140</v>
      </c>
      <c r="I30" s="6"/>
    </row>
    <row r="31" customFormat="false" ht="15" hidden="false" customHeight="false" outlineLevel="0" collapsed="false">
      <c r="A31" s="7" t="s">
        <v>152</v>
      </c>
      <c r="B31" s="7" t="s">
        <v>152</v>
      </c>
      <c r="C31" s="7" t="s">
        <v>96</v>
      </c>
      <c r="D31" s="7" t="s">
        <v>123</v>
      </c>
      <c r="E31" s="7" t="s">
        <v>98</v>
      </c>
      <c r="F31" s="7" t="s">
        <v>139</v>
      </c>
      <c r="G31" s="7"/>
      <c r="H31" s="7" t="s">
        <v>153</v>
      </c>
      <c r="I31" s="7" t="s">
        <v>154</v>
      </c>
    </row>
    <row r="32" customFormat="false" ht="15" hidden="false" customHeight="false" outlineLevel="0" collapsed="false">
      <c r="A32" s="7" t="s">
        <v>152</v>
      </c>
      <c r="B32" s="7" t="s">
        <v>152</v>
      </c>
      <c r="C32" s="7" t="s">
        <v>96</v>
      </c>
      <c r="D32" s="7" t="s">
        <v>155</v>
      </c>
      <c r="E32" s="7" t="s">
        <v>98</v>
      </c>
      <c r="F32" s="7" t="s">
        <v>99</v>
      </c>
      <c r="G32" s="7" t="s">
        <v>156</v>
      </c>
      <c r="H32" s="7" t="s">
        <v>153</v>
      </c>
      <c r="I32" s="7" t="s">
        <v>154</v>
      </c>
    </row>
    <row r="33" customFormat="false" ht="15" hidden="false" customHeight="false" outlineLevel="0" collapsed="false">
      <c r="A33" s="7" t="s">
        <v>152</v>
      </c>
      <c r="B33" s="7" t="s">
        <v>152</v>
      </c>
      <c r="C33" s="7" t="s">
        <v>96</v>
      </c>
      <c r="D33" s="7" t="s">
        <v>157</v>
      </c>
      <c r="E33" s="7" t="s">
        <v>116</v>
      </c>
      <c r="F33" s="7"/>
      <c r="G33" s="7" t="s">
        <v>158</v>
      </c>
      <c r="H33" s="7" t="s">
        <v>153</v>
      </c>
      <c r="I33" s="7" t="s">
        <v>154</v>
      </c>
    </row>
    <row r="34" customFormat="false" ht="15" hidden="false" customHeight="false" outlineLevel="0" collapsed="false">
      <c r="A34" s="7" t="s">
        <v>152</v>
      </c>
      <c r="B34" s="7" t="s">
        <v>152</v>
      </c>
      <c r="C34" s="7" t="s">
        <v>96</v>
      </c>
      <c r="D34" s="7" t="s">
        <v>159</v>
      </c>
      <c r="E34" s="7" t="s">
        <v>116</v>
      </c>
      <c r="F34" s="7"/>
      <c r="G34" s="7" t="s">
        <v>160</v>
      </c>
      <c r="H34" s="7" t="s">
        <v>153</v>
      </c>
      <c r="I34" s="7" t="s">
        <v>154</v>
      </c>
    </row>
    <row r="35" customFormat="false" ht="15" hidden="false" customHeight="false" outlineLevel="0" collapsed="false">
      <c r="A35" s="7" t="s">
        <v>152</v>
      </c>
      <c r="B35" s="7" t="s">
        <v>152</v>
      </c>
      <c r="C35" s="7" t="s">
        <v>96</v>
      </c>
      <c r="D35" s="7" t="s">
        <v>161</v>
      </c>
      <c r="E35" s="7" t="s">
        <v>116</v>
      </c>
      <c r="F35" s="7"/>
      <c r="G35" s="7" t="s">
        <v>162</v>
      </c>
      <c r="H35" s="7" t="s">
        <v>153</v>
      </c>
      <c r="I35" s="7" t="s">
        <v>154</v>
      </c>
    </row>
    <row r="36" customFormat="false" ht="15" hidden="false" customHeight="false" outlineLevel="0" collapsed="false">
      <c r="A36" s="7" t="s">
        <v>152</v>
      </c>
      <c r="B36" s="7" t="s">
        <v>152</v>
      </c>
      <c r="C36" s="7" t="s">
        <v>96</v>
      </c>
      <c r="D36" s="7" t="s">
        <v>163</v>
      </c>
      <c r="E36" s="7" t="s">
        <v>144</v>
      </c>
      <c r="F36" s="7"/>
      <c r="G36" s="7" t="s">
        <v>164</v>
      </c>
      <c r="H36" s="7" t="s">
        <v>153</v>
      </c>
      <c r="I36" s="7" t="s">
        <v>154</v>
      </c>
    </row>
    <row r="37" customFormat="false" ht="15" hidden="false" customHeight="false" outlineLevel="0" collapsed="false">
      <c r="A37" s="7" t="s">
        <v>152</v>
      </c>
      <c r="B37" s="7" t="s">
        <v>152</v>
      </c>
      <c r="C37" s="7" t="s">
        <v>96</v>
      </c>
      <c r="D37" s="7" t="s">
        <v>165</v>
      </c>
      <c r="E37" s="7" t="s">
        <v>116</v>
      </c>
      <c r="F37" s="7"/>
      <c r="G37" s="7" t="s">
        <v>166</v>
      </c>
      <c r="H37" s="7" t="s">
        <v>153</v>
      </c>
      <c r="I37" s="7" t="s">
        <v>154</v>
      </c>
    </row>
    <row r="38" customFormat="false" ht="15" hidden="false" customHeight="false" outlineLevel="0" collapsed="false">
      <c r="A38" s="7" t="s">
        <v>152</v>
      </c>
      <c r="B38" s="7" t="s">
        <v>152</v>
      </c>
      <c r="C38" s="7" t="s">
        <v>96</v>
      </c>
      <c r="D38" s="7" t="s">
        <v>167</v>
      </c>
      <c r="E38" s="7" t="s">
        <v>119</v>
      </c>
      <c r="F38" s="7"/>
      <c r="G38" s="7" t="s">
        <v>168</v>
      </c>
      <c r="H38" s="7" t="s">
        <v>153</v>
      </c>
      <c r="I38" s="7" t="s">
        <v>154</v>
      </c>
    </row>
    <row r="39" customFormat="false" ht="15" hidden="false" customHeight="false" outlineLevel="0" collapsed="false">
      <c r="A39" s="7" t="s">
        <v>169</v>
      </c>
      <c r="B39" s="7" t="s">
        <v>169</v>
      </c>
      <c r="C39" s="7" t="s">
        <v>96</v>
      </c>
      <c r="D39" s="7" t="s">
        <v>170</v>
      </c>
      <c r="E39" s="7" t="s">
        <v>98</v>
      </c>
      <c r="F39" s="7" t="s">
        <v>99</v>
      </c>
      <c r="G39" s="7"/>
      <c r="H39" s="7" t="s">
        <v>171</v>
      </c>
      <c r="I39" s="7" t="s">
        <v>154</v>
      </c>
    </row>
    <row r="40" customFormat="false" ht="15" hidden="false" customHeight="false" outlineLevel="0" collapsed="false">
      <c r="A40" s="7" t="s">
        <v>169</v>
      </c>
      <c r="B40" s="7" t="s">
        <v>169</v>
      </c>
      <c r="C40" s="7" t="s">
        <v>96</v>
      </c>
      <c r="D40" s="7" t="s">
        <v>123</v>
      </c>
      <c r="E40" s="7" t="s">
        <v>98</v>
      </c>
      <c r="F40" s="7" t="s">
        <v>172</v>
      </c>
      <c r="G40" s="7"/>
      <c r="H40" s="7" t="s">
        <v>171</v>
      </c>
      <c r="I40" s="7" t="s">
        <v>154</v>
      </c>
    </row>
    <row r="41" customFormat="false" ht="15" hidden="false" customHeight="false" outlineLevel="0" collapsed="false">
      <c r="A41" s="7" t="s">
        <v>169</v>
      </c>
      <c r="B41" s="7" t="s">
        <v>169</v>
      </c>
      <c r="C41" s="7" t="s">
        <v>96</v>
      </c>
      <c r="D41" s="7" t="s">
        <v>173</v>
      </c>
      <c r="E41" s="7" t="s">
        <v>98</v>
      </c>
      <c r="F41" s="7"/>
      <c r="G41" s="7" t="s">
        <v>174</v>
      </c>
      <c r="H41" s="7" t="s">
        <v>171</v>
      </c>
      <c r="I41" s="7" t="s">
        <v>154</v>
      </c>
    </row>
    <row r="42" customFormat="false" ht="15" hidden="false" customHeight="false" outlineLevel="0" collapsed="false">
      <c r="A42" s="7" t="s">
        <v>169</v>
      </c>
      <c r="B42" s="7" t="s">
        <v>169</v>
      </c>
      <c r="C42" s="7" t="s">
        <v>96</v>
      </c>
      <c r="D42" s="7" t="s">
        <v>175</v>
      </c>
      <c r="E42" s="7" t="s">
        <v>98</v>
      </c>
      <c r="F42" s="7"/>
      <c r="G42" s="7"/>
      <c r="H42" s="7" t="s">
        <v>171</v>
      </c>
      <c r="I42" s="7" t="s">
        <v>154</v>
      </c>
    </row>
    <row r="43" customFormat="false" ht="15" hidden="false" customHeight="false" outlineLevel="0" collapsed="false">
      <c r="A43" s="7" t="s">
        <v>169</v>
      </c>
      <c r="B43" s="7" t="s">
        <v>169</v>
      </c>
      <c r="C43" s="7" t="s">
        <v>96</v>
      </c>
      <c r="D43" s="7" t="s">
        <v>176</v>
      </c>
      <c r="E43" s="7" t="s">
        <v>116</v>
      </c>
      <c r="F43" s="7"/>
      <c r="G43" s="7"/>
      <c r="H43" s="7" t="s">
        <v>171</v>
      </c>
      <c r="I43" s="7" t="s">
        <v>154</v>
      </c>
    </row>
    <row r="44" customFormat="false" ht="15" hidden="false" customHeight="false" outlineLevel="0" collapsed="false">
      <c r="A44" s="7" t="s">
        <v>169</v>
      </c>
      <c r="B44" s="7" t="s">
        <v>169</v>
      </c>
      <c r="C44" s="7" t="s">
        <v>96</v>
      </c>
      <c r="D44" s="7" t="s">
        <v>177</v>
      </c>
      <c r="E44" s="7" t="s">
        <v>116</v>
      </c>
      <c r="F44" s="7"/>
      <c r="G44" s="7"/>
      <c r="H44" s="7" t="s">
        <v>171</v>
      </c>
      <c r="I44" s="7" t="s">
        <v>154</v>
      </c>
    </row>
    <row r="45" customFormat="false" ht="22.35" hidden="false" customHeight="false" outlineLevel="0" collapsed="false">
      <c r="A45" s="7" t="s">
        <v>169</v>
      </c>
      <c r="B45" s="7" t="s">
        <v>169</v>
      </c>
      <c r="C45" s="7" t="s">
        <v>96</v>
      </c>
      <c r="D45" s="7" t="s">
        <v>178</v>
      </c>
      <c r="E45" s="7" t="s">
        <v>150</v>
      </c>
      <c r="F45" s="7"/>
      <c r="G45" s="7"/>
      <c r="H45" s="7" t="s">
        <v>171</v>
      </c>
      <c r="I45" s="7" t="s">
        <v>154</v>
      </c>
    </row>
    <row r="46" customFormat="false" ht="15" hidden="false" customHeight="false" outlineLevel="0" collapsed="false">
      <c r="A46" s="7" t="s">
        <v>169</v>
      </c>
      <c r="B46" s="7" t="s">
        <v>169</v>
      </c>
      <c r="C46" s="7" t="s">
        <v>96</v>
      </c>
      <c r="D46" s="7" t="s">
        <v>179</v>
      </c>
      <c r="E46" s="7" t="s">
        <v>144</v>
      </c>
      <c r="F46" s="7"/>
      <c r="G46" s="7"/>
      <c r="H46" s="7" t="s">
        <v>171</v>
      </c>
      <c r="I46" s="7" t="s">
        <v>154</v>
      </c>
    </row>
    <row r="47" customFormat="false" ht="15" hidden="false" customHeight="false" outlineLevel="0" collapsed="false">
      <c r="A47" s="7" t="s">
        <v>169</v>
      </c>
      <c r="B47" s="7" t="s">
        <v>169</v>
      </c>
      <c r="C47" s="7" t="s">
        <v>96</v>
      </c>
      <c r="D47" s="7" t="s">
        <v>180</v>
      </c>
      <c r="E47" s="7" t="s">
        <v>119</v>
      </c>
      <c r="F47" s="7"/>
      <c r="G47" s="7"/>
      <c r="H47" s="7" t="s">
        <v>171</v>
      </c>
      <c r="I47" s="7" t="s">
        <v>154</v>
      </c>
    </row>
    <row r="48" customFormat="false" ht="15" hidden="false" customHeight="false" outlineLevel="0" collapsed="false">
      <c r="A48" s="7" t="s">
        <v>169</v>
      </c>
      <c r="B48" s="7" t="s">
        <v>169</v>
      </c>
      <c r="C48" s="7" t="s">
        <v>96</v>
      </c>
      <c r="D48" s="7" t="s">
        <v>181</v>
      </c>
      <c r="E48" s="7" t="s">
        <v>119</v>
      </c>
      <c r="F48" s="7"/>
      <c r="G48" s="7"/>
      <c r="H48" s="7" t="s">
        <v>171</v>
      </c>
      <c r="I48" s="7" t="s">
        <v>154</v>
      </c>
    </row>
    <row r="49" customFormat="false" ht="15" hidden="false" customHeight="false" outlineLevel="0" collapsed="false">
      <c r="A49" s="7" t="s">
        <v>182</v>
      </c>
      <c r="B49" s="7" t="s">
        <v>183</v>
      </c>
      <c r="C49" s="7" t="s">
        <v>96</v>
      </c>
      <c r="D49" s="7" t="s">
        <v>184</v>
      </c>
      <c r="E49" s="7" t="s">
        <v>98</v>
      </c>
      <c r="F49" s="7" t="s">
        <v>99</v>
      </c>
      <c r="G49" s="7"/>
      <c r="H49" s="7" t="s">
        <v>185</v>
      </c>
      <c r="I49" s="7" t="s">
        <v>154</v>
      </c>
    </row>
    <row r="50" customFormat="false" ht="15" hidden="false" customHeight="false" outlineLevel="0" collapsed="false">
      <c r="A50" s="7" t="s">
        <v>182</v>
      </c>
      <c r="B50" s="7" t="s">
        <v>183</v>
      </c>
      <c r="C50" s="7" t="s">
        <v>96</v>
      </c>
      <c r="D50" s="7" t="s">
        <v>123</v>
      </c>
      <c r="E50" s="7" t="s">
        <v>98</v>
      </c>
      <c r="F50" s="7" t="s">
        <v>172</v>
      </c>
      <c r="G50" s="7"/>
      <c r="H50" s="7" t="s">
        <v>185</v>
      </c>
      <c r="I50" s="7" t="s">
        <v>154</v>
      </c>
    </row>
    <row r="51" customFormat="false" ht="15" hidden="false" customHeight="false" outlineLevel="0" collapsed="false">
      <c r="A51" s="7" t="s">
        <v>182</v>
      </c>
      <c r="B51" s="7" t="s">
        <v>183</v>
      </c>
      <c r="C51" s="7" t="s">
        <v>96</v>
      </c>
      <c r="D51" s="7" t="s">
        <v>186</v>
      </c>
      <c r="E51" s="7" t="s">
        <v>98</v>
      </c>
      <c r="F51" s="7"/>
      <c r="G51" s="7" t="s">
        <v>187</v>
      </c>
      <c r="H51" s="7" t="s">
        <v>185</v>
      </c>
      <c r="I51" s="7" t="s">
        <v>154</v>
      </c>
    </row>
    <row r="52" customFormat="false" ht="15" hidden="false" customHeight="false" outlineLevel="0" collapsed="false">
      <c r="A52" s="7" t="s">
        <v>182</v>
      </c>
      <c r="B52" s="7" t="s">
        <v>183</v>
      </c>
      <c r="C52" s="7" t="s">
        <v>96</v>
      </c>
      <c r="D52" s="7" t="s">
        <v>188</v>
      </c>
      <c r="E52" s="7" t="s">
        <v>98</v>
      </c>
      <c r="F52" s="7"/>
      <c r="G52" s="7"/>
      <c r="H52" s="7" t="s">
        <v>185</v>
      </c>
      <c r="I52" s="7" t="s">
        <v>154</v>
      </c>
    </row>
    <row r="53" customFormat="false" ht="15" hidden="false" customHeight="false" outlineLevel="0" collapsed="false">
      <c r="A53" s="7" t="s">
        <v>182</v>
      </c>
      <c r="B53" s="7" t="s">
        <v>183</v>
      </c>
      <c r="C53" s="7" t="s">
        <v>96</v>
      </c>
      <c r="D53" s="7" t="s">
        <v>189</v>
      </c>
      <c r="E53" s="7" t="s">
        <v>119</v>
      </c>
      <c r="F53" s="7"/>
      <c r="G53" s="7"/>
      <c r="H53" s="7" t="s">
        <v>185</v>
      </c>
      <c r="I53" s="7" t="s">
        <v>154</v>
      </c>
    </row>
    <row r="54" customFormat="false" ht="15" hidden="false" customHeight="false" outlineLevel="0" collapsed="false">
      <c r="A54" s="7" t="s">
        <v>182</v>
      </c>
      <c r="B54" s="7" t="s">
        <v>183</v>
      </c>
      <c r="C54" s="7" t="s">
        <v>96</v>
      </c>
      <c r="D54" s="7" t="s">
        <v>190</v>
      </c>
      <c r="E54" s="7" t="s">
        <v>119</v>
      </c>
      <c r="F54" s="7"/>
      <c r="G54" s="7"/>
      <c r="H54" s="7" t="s">
        <v>185</v>
      </c>
      <c r="I54" s="7" t="s">
        <v>154</v>
      </c>
    </row>
    <row r="55" customFormat="false" ht="15" hidden="false" customHeight="false" outlineLevel="0" collapsed="false">
      <c r="A55" s="7" t="s">
        <v>182</v>
      </c>
      <c r="B55" s="7" t="s">
        <v>183</v>
      </c>
      <c r="C55" s="7" t="s">
        <v>96</v>
      </c>
      <c r="D55" s="7" t="s">
        <v>191</v>
      </c>
      <c r="E55" s="7" t="s">
        <v>116</v>
      </c>
      <c r="F55" s="7"/>
      <c r="G55" s="7"/>
      <c r="H55" s="7" t="s">
        <v>185</v>
      </c>
      <c r="I55" s="7" t="s">
        <v>154</v>
      </c>
    </row>
    <row r="56" customFormat="false" ht="22.35" hidden="false" customHeight="false" outlineLevel="0" collapsed="false">
      <c r="A56" s="7" t="s">
        <v>182</v>
      </c>
      <c r="B56" s="7" t="s">
        <v>183</v>
      </c>
      <c r="C56" s="7" t="s">
        <v>96</v>
      </c>
      <c r="D56" s="7" t="s">
        <v>192</v>
      </c>
      <c r="E56" s="7" t="s">
        <v>150</v>
      </c>
      <c r="F56" s="7"/>
      <c r="G56" s="7"/>
      <c r="H56" s="7" t="s">
        <v>185</v>
      </c>
      <c r="I56" s="7" t="s">
        <v>154</v>
      </c>
    </row>
    <row r="57" customFormat="false" ht="22.35" hidden="false" customHeight="false" outlineLevel="0" collapsed="false">
      <c r="A57" s="7" t="s">
        <v>182</v>
      </c>
      <c r="B57" s="7" t="s">
        <v>183</v>
      </c>
      <c r="C57" s="7" t="s">
        <v>96</v>
      </c>
      <c r="D57" s="7" t="s">
        <v>193</v>
      </c>
      <c r="E57" s="7" t="s">
        <v>150</v>
      </c>
      <c r="F57" s="7"/>
      <c r="G57" s="7"/>
      <c r="H57" s="7" t="s">
        <v>185</v>
      </c>
      <c r="I57" s="7" t="s">
        <v>154</v>
      </c>
    </row>
    <row r="58" customFormat="false" ht="15" hidden="false" customHeight="false" outlineLevel="0" collapsed="false">
      <c r="A58" s="7" t="s">
        <v>182</v>
      </c>
      <c r="B58" s="7" t="s">
        <v>183</v>
      </c>
      <c r="C58" s="7" t="s">
        <v>96</v>
      </c>
      <c r="D58" s="7" t="s">
        <v>194</v>
      </c>
      <c r="E58" s="7" t="s">
        <v>144</v>
      </c>
      <c r="F58" s="7"/>
      <c r="G58" s="7" t="s">
        <v>195</v>
      </c>
      <c r="H58" s="7" t="s">
        <v>185</v>
      </c>
      <c r="I58" s="7" t="s">
        <v>154</v>
      </c>
    </row>
    <row r="59" customFormat="false" ht="15" hidden="false" customHeight="false" outlineLevel="0" collapsed="false">
      <c r="A59" s="7" t="s">
        <v>182</v>
      </c>
      <c r="B59" s="7" t="s">
        <v>183</v>
      </c>
      <c r="C59" s="7" t="s">
        <v>96</v>
      </c>
      <c r="D59" s="7" t="s">
        <v>196</v>
      </c>
      <c r="E59" s="7" t="s">
        <v>144</v>
      </c>
      <c r="F59" s="7"/>
      <c r="G59" s="7" t="s">
        <v>197</v>
      </c>
      <c r="H59" s="7" t="s">
        <v>185</v>
      </c>
      <c r="I59" s="7" t="s">
        <v>154</v>
      </c>
    </row>
    <row r="60" customFormat="false" ht="15" hidden="false" customHeight="false" outlineLevel="0" collapsed="false">
      <c r="A60" s="7" t="s">
        <v>182</v>
      </c>
      <c r="B60" s="7" t="s">
        <v>183</v>
      </c>
      <c r="C60" s="7" t="s">
        <v>96</v>
      </c>
      <c r="D60" s="7" t="s">
        <v>198</v>
      </c>
      <c r="E60" s="7" t="s">
        <v>98</v>
      </c>
      <c r="F60" s="7"/>
      <c r="G60" s="7"/>
      <c r="H60" s="7" t="s">
        <v>185</v>
      </c>
      <c r="I60" s="7" t="s">
        <v>154</v>
      </c>
    </row>
    <row r="61" customFormat="false" ht="15" hidden="false" customHeight="false" outlineLevel="0" collapsed="false">
      <c r="A61" s="7" t="s">
        <v>182</v>
      </c>
      <c r="B61" s="7" t="s">
        <v>183</v>
      </c>
      <c r="C61" s="7" t="s">
        <v>96</v>
      </c>
      <c r="D61" s="7" t="s">
        <v>120</v>
      </c>
      <c r="E61" s="7" t="s">
        <v>98</v>
      </c>
      <c r="F61" s="7"/>
      <c r="G61" s="7" t="s">
        <v>199</v>
      </c>
      <c r="H61" s="7" t="s">
        <v>185</v>
      </c>
      <c r="I61" s="7" t="s">
        <v>154</v>
      </c>
    </row>
    <row r="62" customFormat="false" ht="15" hidden="false" customHeight="false" outlineLevel="0" collapsed="false">
      <c r="A62" s="6" t="s">
        <v>200</v>
      </c>
      <c r="B62" s="6" t="s">
        <v>200</v>
      </c>
      <c r="C62" s="6" t="s">
        <v>96</v>
      </c>
      <c r="D62" s="6" t="s">
        <v>201</v>
      </c>
      <c r="E62" s="6" t="s">
        <v>98</v>
      </c>
      <c r="F62" s="6" t="s">
        <v>99</v>
      </c>
      <c r="G62" s="6"/>
      <c r="H62" s="6" t="s">
        <v>202</v>
      </c>
      <c r="I62" s="6"/>
    </row>
    <row r="63" customFormat="false" ht="15" hidden="false" customHeight="false" outlineLevel="0" collapsed="false">
      <c r="A63" s="6" t="s">
        <v>200</v>
      </c>
      <c r="B63" s="6" t="s">
        <v>200</v>
      </c>
      <c r="C63" s="6" t="s">
        <v>96</v>
      </c>
      <c r="D63" s="6" t="s">
        <v>203</v>
      </c>
      <c r="E63" s="6" t="s">
        <v>98</v>
      </c>
      <c r="F63" s="6"/>
      <c r="G63" s="6"/>
      <c r="H63" s="6" t="s">
        <v>202</v>
      </c>
      <c r="I63" s="6"/>
    </row>
    <row r="64" customFormat="false" ht="15" hidden="false" customHeight="false" outlineLevel="0" collapsed="false">
      <c r="A64" s="6" t="s">
        <v>200</v>
      </c>
      <c r="B64" s="6" t="s">
        <v>200</v>
      </c>
      <c r="C64" s="6" t="s">
        <v>96</v>
      </c>
      <c r="D64" s="6" t="s">
        <v>155</v>
      </c>
      <c r="E64" s="6" t="s">
        <v>98</v>
      </c>
      <c r="F64" s="6"/>
      <c r="G64" s="6"/>
      <c r="H64" s="6" t="s">
        <v>202</v>
      </c>
      <c r="I64" s="6"/>
    </row>
    <row r="65" customFormat="false" ht="15" hidden="false" customHeight="false" outlineLevel="0" collapsed="false">
      <c r="A65" s="6" t="s">
        <v>200</v>
      </c>
      <c r="B65" s="6" t="s">
        <v>200</v>
      </c>
      <c r="C65" s="6" t="s">
        <v>96</v>
      </c>
      <c r="D65" s="6" t="s">
        <v>204</v>
      </c>
      <c r="E65" s="6" t="s">
        <v>98</v>
      </c>
      <c r="F65" s="6"/>
      <c r="G65" s="6"/>
      <c r="H65" s="6" t="s">
        <v>202</v>
      </c>
      <c r="I65" s="6"/>
    </row>
    <row r="66" customFormat="false" ht="15" hidden="false" customHeight="false" outlineLevel="0" collapsed="false">
      <c r="A66" s="6" t="s">
        <v>200</v>
      </c>
      <c r="B66" s="6" t="s">
        <v>200</v>
      </c>
      <c r="C66" s="6" t="s">
        <v>96</v>
      </c>
      <c r="D66" s="6" t="s">
        <v>205</v>
      </c>
      <c r="E66" s="6" t="s">
        <v>98</v>
      </c>
      <c r="F66" s="6"/>
      <c r="G66" s="6" t="s">
        <v>206</v>
      </c>
      <c r="H66" s="6" t="s">
        <v>202</v>
      </c>
      <c r="I66" s="6"/>
    </row>
    <row r="67" customFormat="false" ht="15" hidden="false" customHeight="false" outlineLevel="0" collapsed="false">
      <c r="A67" s="6" t="s">
        <v>200</v>
      </c>
      <c r="B67" s="6" t="s">
        <v>200</v>
      </c>
      <c r="C67" s="6" t="s">
        <v>96</v>
      </c>
      <c r="D67" s="6" t="s">
        <v>207</v>
      </c>
      <c r="E67" s="6" t="s">
        <v>98</v>
      </c>
      <c r="F67" s="6"/>
      <c r="G67" s="6" t="s">
        <v>208</v>
      </c>
      <c r="H67" s="6" t="s">
        <v>202</v>
      </c>
      <c r="I67" s="6"/>
    </row>
    <row r="68" customFormat="false" ht="15" hidden="false" customHeight="false" outlineLevel="0" collapsed="false">
      <c r="A68" s="6" t="s">
        <v>200</v>
      </c>
      <c r="B68" s="6" t="s">
        <v>200</v>
      </c>
      <c r="C68" s="6" t="s">
        <v>96</v>
      </c>
      <c r="D68" s="6" t="s">
        <v>209</v>
      </c>
      <c r="E68" s="6" t="s">
        <v>98</v>
      </c>
      <c r="F68" s="6" t="s">
        <v>172</v>
      </c>
      <c r="G68" s="6" t="s">
        <v>210</v>
      </c>
      <c r="H68" s="6" t="s">
        <v>202</v>
      </c>
      <c r="I68" s="6"/>
    </row>
    <row r="69" customFormat="false" ht="15" hidden="false" customHeight="false" outlineLevel="0" collapsed="false">
      <c r="A69" s="6" t="s">
        <v>200</v>
      </c>
      <c r="B69" s="6" t="s">
        <v>200</v>
      </c>
      <c r="C69" s="6" t="s">
        <v>96</v>
      </c>
      <c r="D69" s="6" t="s">
        <v>211</v>
      </c>
      <c r="E69" s="6" t="s">
        <v>98</v>
      </c>
      <c r="F69" s="6" t="s">
        <v>172</v>
      </c>
      <c r="G69" s="6" t="s">
        <v>212</v>
      </c>
      <c r="H69" s="6" t="s">
        <v>202</v>
      </c>
      <c r="I69" s="6"/>
    </row>
    <row r="70" customFormat="false" ht="15" hidden="false" customHeight="false" outlineLevel="0" collapsed="false">
      <c r="A70" s="6" t="s">
        <v>200</v>
      </c>
      <c r="B70" s="6" t="s">
        <v>200</v>
      </c>
      <c r="C70" s="6" t="s">
        <v>96</v>
      </c>
      <c r="D70" s="6" t="s">
        <v>213</v>
      </c>
      <c r="E70" s="6" t="s">
        <v>98</v>
      </c>
      <c r="F70" s="6"/>
      <c r="G70" s="6" t="s">
        <v>214</v>
      </c>
      <c r="H70" s="6" t="s">
        <v>202</v>
      </c>
      <c r="I70" s="6"/>
    </row>
    <row r="71" customFormat="false" ht="15" hidden="false" customHeight="false" outlineLevel="0" collapsed="false">
      <c r="A71" s="6" t="s">
        <v>215</v>
      </c>
      <c r="B71" s="6" t="s">
        <v>215</v>
      </c>
      <c r="C71" s="6" t="s">
        <v>96</v>
      </c>
      <c r="D71" s="6" t="s">
        <v>216</v>
      </c>
      <c r="E71" s="6" t="s">
        <v>98</v>
      </c>
      <c r="F71" s="6" t="s">
        <v>99</v>
      </c>
      <c r="G71" s="6"/>
      <c r="H71" s="6" t="s">
        <v>217</v>
      </c>
      <c r="I71" s="6"/>
    </row>
    <row r="72" customFormat="false" ht="15" hidden="false" customHeight="false" outlineLevel="0" collapsed="false">
      <c r="A72" s="6" t="s">
        <v>215</v>
      </c>
      <c r="B72" s="6" t="s">
        <v>215</v>
      </c>
      <c r="C72" s="6" t="s">
        <v>96</v>
      </c>
      <c r="D72" s="6" t="s">
        <v>123</v>
      </c>
      <c r="E72" s="6" t="s">
        <v>98</v>
      </c>
      <c r="F72" s="6" t="s">
        <v>172</v>
      </c>
      <c r="G72" s="6"/>
      <c r="H72" s="6" t="s">
        <v>217</v>
      </c>
      <c r="I72" s="6"/>
    </row>
    <row r="73" customFormat="false" ht="15" hidden="false" customHeight="false" outlineLevel="0" collapsed="false">
      <c r="A73" s="6" t="s">
        <v>215</v>
      </c>
      <c r="B73" s="6" t="s">
        <v>215</v>
      </c>
      <c r="C73" s="6" t="s">
        <v>96</v>
      </c>
      <c r="D73" s="6" t="s">
        <v>218</v>
      </c>
      <c r="E73" s="6" t="s">
        <v>98</v>
      </c>
      <c r="F73" s="6"/>
      <c r="G73" s="6"/>
      <c r="H73" s="6" t="s">
        <v>217</v>
      </c>
      <c r="I73" s="6"/>
    </row>
    <row r="74" customFormat="false" ht="15" hidden="false" customHeight="false" outlineLevel="0" collapsed="false">
      <c r="A74" s="6" t="s">
        <v>215</v>
      </c>
      <c r="B74" s="6" t="s">
        <v>215</v>
      </c>
      <c r="C74" s="6" t="s">
        <v>96</v>
      </c>
      <c r="D74" s="6" t="s">
        <v>219</v>
      </c>
      <c r="E74" s="6" t="s">
        <v>98</v>
      </c>
      <c r="F74" s="6"/>
      <c r="G74" s="6"/>
      <c r="H74" s="6" t="s">
        <v>217</v>
      </c>
      <c r="I74" s="6"/>
    </row>
    <row r="75" customFormat="false" ht="15" hidden="false" customHeight="false" outlineLevel="0" collapsed="false">
      <c r="A75" s="6" t="s">
        <v>215</v>
      </c>
      <c r="B75" s="6" t="s">
        <v>215</v>
      </c>
      <c r="C75" s="6" t="s">
        <v>96</v>
      </c>
      <c r="D75" s="6" t="s">
        <v>201</v>
      </c>
      <c r="E75" s="6" t="s">
        <v>98</v>
      </c>
      <c r="F75" s="6" t="s">
        <v>172</v>
      </c>
      <c r="G75" s="6"/>
      <c r="H75" s="6" t="s">
        <v>217</v>
      </c>
      <c r="I75" s="6"/>
    </row>
    <row r="76" customFormat="false" ht="15" hidden="false" customHeight="false" outlineLevel="0" collapsed="false">
      <c r="A76" s="6" t="s">
        <v>215</v>
      </c>
      <c r="B76" s="6" t="s">
        <v>215</v>
      </c>
      <c r="C76" s="6" t="s">
        <v>96</v>
      </c>
      <c r="D76" s="6" t="s">
        <v>205</v>
      </c>
      <c r="E76" s="6" t="s">
        <v>98</v>
      </c>
      <c r="F76" s="6"/>
      <c r="G76" s="6" t="s">
        <v>206</v>
      </c>
      <c r="H76" s="6" t="s">
        <v>217</v>
      </c>
      <c r="I76" s="6"/>
    </row>
    <row r="77" customFormat="false" ht="15" hidden="false" customHeight="false" outlineLevel="0" collapsed="false">
      <c r="A77" s="6" t="s">
        <v>215</v>
      </c>
      <c r="B77" s="6" t="s">
        <v>215</v>
      </c>
      <c r="C77" s="6" t="s">
        <v>96</v>
      </c>
      <c r="D77" s="6" t="s">
        <v>220</v>
      </c>
      <c r="E77" s="6" t="s">
        <v>98</v>
      </c>
      <c r="F77" s="6"/>
      <c r="G77" s="6" t="s">
        <v>221</v>
      </c>
      <c r="H77" s="6" t="s">
        <v>217</v>
      </c>
      <c r="I77" s="6"/>
    </row>
    <row r="78" customFormat="false" ht="15" hidden="false" customHeight="false" outlineLevel="0" collapsed="false">
      <c r="A78" s="6" t="s">
        <v>215</v>
      </c>
      <c r="B78" s="6" t="s">
        <v>215</v>
      </c>
      <c r="C78" s="6" t="s">
        <v>96</v>
      </c>
      <c r="D78" s="6" t="s">
        <v>222</v>
      </c>
      <c r="E78" s="6" t="s">
        <v>98</v>
      </c>
      <c r="F78" s="6" t="s">
        <v>172</v>
      </c>
      <c r="G78" s="6" t="s">
        <v>223</v>
      </c>
      <c r="H78" s="6" t="s">
        <v>217</v>
      </c>
      <c r="I78" s="6"/>
    </row>
    <row r="79" customFormat="false" ht="15" hidden="false" customHeight="false" outlineLevel="0" collapsed="false">
      <c r="A79" s="6" t="s">
        <v>215</v>
      </c>
      <c r="B79" s="6" t="s">
        <v>215</v>
      </c>
      <c r="C79" s="6" t="s">
        <v>96</v>
      </c>
      <c r="D79" s="6" t="s">
        <v>224</v>
      </c>
      <c r="E79" s="6" t="s">
        <v>98</v>
      </c>
      <c r="F79" s="6" t="s">
        <v>172</v>
      </c>
      <c r="G79" s="6"/>
      <c r="H79" s="6" t="s">
        <v>217</v>
      </c>
      <c r="I79" s="6"/>
    </row>
    <row r="80" customFormat="false" ht="22.35" hidden="false" customHeight="false" outlineLevel="0" collapsed="false">
      <c r="A80" s="6" t="s">
        <v>215</v>
      </c>
      <c r="B80" s="6" t="s">
        <v>215</v>
      </c>
      <c r="C80" s="6" t="s">
        <v>96</v>
      </c>
      <c r="D80" s="6" t="s">
        <v>225</v>
      </c>
      <c r="E80" s="6" t="s">
        <v>150</v>
      </c>
      <c r="F80" s="6"/>
      <c r="G80" s="6"/>
      <c r="H80" s="6" t="s">
        <v>217</v>
      </c>
      <c r="I80" s="6"/>
    </row>
    <row r="81" customFormat="false" ht="22.35" hidden="false" customHeight="false" outlineLevel="0" collapsed="false">
      <c r="A81" s="6" t="s">
        <v>215</v>
      </c>
      <c r="B81" s="6" t="s">
        <v>215</v>
      </c>
      <c r="C81" s="6" t="s">
        <v>96</v>
      </c>
      <c r="D81" s="6" t="s">
        <v>226</v>
      </c>
      <c r="E81" s="6" t="s">
        <v>150</v>
      </c>
      <c r="F81" s="6"/>
      <c r="G81" s="6"/>
      <c r="H81" s="6" t="s">
        <v>217</v>
      </c>
      <c r="I81" s="6"/>
    </row>
    <row r="82" customFormat="false" ht="15" hidden="false" customHeight="false" outlineLevel="0" collapsed="false">
      <c r="A82" s="6" t="s">
        <v>227</v>
      </c>
      <c r="B82" s="6" t="s">
        <v>227</v>
      </c>
      <c r="C82" s="6" t="s">
        <v>96</v>
      </c>
      <c r="D82" s="6" t="s">
        <v>228</v>
      </c>
      <c r="E82" s="6" t="s">
        <v>98</v>
      </c>
      <c r="F82" s="6" t="s">
        <v>99</v>
      </c>
      <c r="G82" s="6"/>
      <c r="H82" s="6" t="s">
        <v>229</v>
      </c>
      <c r="I82" s="6"/>
    </row>
    <row r="83" customFormat="false" ht="15" hidden="false" customHeight="false" outlineLevel="0" collapsed="false">
      <c r="A83" s="6" t="s">
        <v>227</v>
      </c>
      <c r="B83" s="6" t="s">
        <v>227</v>
      </c>
      <c r="C83" s="6" t="s">
        <v>96</v>
      </c>
      <c r="D83" s="6" t="s">
        <v>216</v>
      </c>
      <c r="E83" s="6" t="s">
        <v>98</v>
      </c>
      <c r="F83" s="6" t="s">
        <v>172</v>
      </c>
      <c r="G83" s="6"/>
      <c r="H83" s="6" t="s">
        <v>229</v>
      </c>
      <c r="I83" s="6"/>
    </row>
    <row r="84" customFormat="false" ht="15" hidden="false" customHeight="false" outlineLevel="0" collapsed="false">
      <c r="A84" s="6" t="s">
        <v>227</v>
      </c>
      <c r="B84" s="6" t="s">
        <v>227</v>
      </c>
      <c r="C84" s="6" t="s">
        <v>96</v>
      </c>
      <c r="D84" s="6" t="s">
        <v>230</v>
      </c>
      <c r="E84" s="6" t="s">
        <v>98</v>
      </c>
      <c r="F84" s="6"/>
      <c r="G84" s="6"/>
      <c r="H84" s="6" t="s">
        <v>229</v>
      </c>
      <c r="I84" s="6"/>
    </row>
    <row r="85" customFormat="false" ht="15" hidden="false" customHeight="false" outlineLevel="0" collapsed="false">
      <c r="A85" s="6" t="s">
        <v>227</v>
      </c>
      <c r="B85" s="6" t="s">
        <v>227</v>
      </c>
      <c r="C85" s="6" t="s">
        <v>96</v>
      </c>
      <c r="D85" s="6" t="s">
        <v>231</v>
      </c>
      <c r="E85" s="6" t="s">
        <v>98</v>
      </c>
      <c r="F85" s="6"/>
      <c r="G85" s="6"/>
      <c r="H85" s="6" t="s">
        <v>229</v>
      </c>
      <c r="I85" s="6"/>
    </row>
    <row r="86" customFormat="false" ht="15" hidden="false" customHeight="false" outlineLevel="0" collapsed="false">
      <c r="A86" s="6" t="s">
        <v>227</v>
      </c>
      <c r="B86" s="6" t="s">
        <v>227</v>
      </c>
      <c r="C86" s="6" t="s">
        <v>96</v>
      </c>
      <c r="D86" s="6" t="s">
        <v>232</v>
      </c>
      <c r="E86" s="6" t="s">
        <v>98</v>
      </c>
      <c r="F86" s="6"/>
      <c r="G86" s="6"/>
      <c r="H86" s="6" t="s">
        <v>229</v>
      </c>
      <c r="I86" s="6"/>
    </row>
    <row r="87" customFormat="false" ht="15" hidden="false" customHeight="false" outlineLevel="0" collapsed="false">
      <c r="A87" s="6" t="s">
        <v>227</v>
      </c>
      <c r="B87" s="6" t="s">
        <v>227</v>
      </c>
      <c r="C87" s="6" t="s">
        <v>96</v>
      </c>
      <c r="D87" s="6" t="s">
        <v>233</v>
      </c>
      <c r="E87" s="6" t="s">
        <v>113</v>
      </c>
      <c r="F87" s="6"/>
      <c r="G87" s="6" t="s">
        <v>234</v>
      </c>
      <c r="H87" s="6" t="s">
        <v>229</v>
      </c>
      <c r="I87" s="6"/>
    </row>
    <row r="88" customFormat="false" ht="15" hidden="false" customHeight="false" outlineLevel="0" collapsed="false">
      <c r="A88" s="6" t="s">
        <v>227</v>
      </c>
      <c r="B88" s="6" t="s">
        <v>227</v>
      </c>
      <c r="C88" s="6" t="s">
        <v>96</v>
      </c>
      <c r="D88" s="6" t="s">
        <v>120</v>
      </c>
      <c r="E88" s="6" t="s">
        <v>98</v>
      </c>
      <c r="F88" s="6"/>
      <c r="G88" s="6" t="s">
        <v>235</v>
      </c>
      <c r="H88" s="6" t="s">
        <v>229</v>
      </c>
      <c r="I88" s="6"/>
    </row>
    <row r="89" customFormat="false" ht="15" hidden="false" customHeight="false" outlineLevel="0" collapsed="false">
      <c r="A89" s="7" t="s">
        <v>236</v>
      </c>
      <c r="B89" s="7" t="s">
        <v>236</v>
      </c>
      <c r="C89" s="7" t="s">
        <v>96</v>
      </c>
      <c r="D89" s="7" t="s">
        <v>228</v>
      </c>
      <c r="E89" s="7" t="s">
        <v>98</v>
      </c>
      <c r="F89" s="7" t="s">
        <v>139</v>
      </c>
      <c r="G89" s="7"/>
      <c r="H89" s="7" t="s">
        <v>237</v>
      </c>
      <c r="I89" s="7" t="s">
        <v>154</v>
      </c>
    </row>
    <row r="90" customFormat="false" ht="15" hidden="false" customHeight="false" outlineLevel="0" collapsed="false">
      <c r="A90" s="7" t="s">
        <v>236</v>
      </c>
      <c r="B90" s="7" t="s">
        <v>236</v>
      </c>
      <c r="C90" s="7" t="s">
        <v>96</v>
      </c>
      <c r="D90" s="7" t="s">
        <v>123</v>
      </c>
      <c r="E90" s="7" t="s">
        <v>98</v>
      </c>
      <c r="F90" s="7" t="s">
        <v>172</v>
      </c>
      <c r="G90" s="7"/>
      <c r="H90" s="7" t="s">
        <v>237</v>
      </c>
      <c r="I90" s="7" t="s">
        <v>154</v>
      </c>
    </row>
    <row r="91" customFormat="false" ht="15" hidden="false" customHeight="false" outlineLevel="0" collapsed="false">
      <c r="A91" s="7" t="s">
        <v>236</v>
      </c>
      <c r="B91" s="7" t="s">
        <v>236</v>
      </c>
      <c r="C91" s="7" t="s">
        <v>96</v>
      </c>
      <c r="D91" s="7" t="s">
        <v>238</v>
      </c>
      <c r="E91" s="7" t="s">
        <v>98</v>
      </c>
      <c r="F91" s="7"/>
      <c r="G91" s="7" t="s">
        <v>239</v>
      </c>
      <c r="H91" s="7" t="s">
        <v>237</v>
      </c>
      <c r="I91" s="7" t="s">
        <v>154</v>
      </c>
    </row>
    <row r="92" customFormat="false" ht="15" hidden="false" customHeight="false" outlineLevel="0" collapsed="false">
      <c r="A92" s="7" t="s">
        <v>236</v>
      </c>
      <c r="B92" s="7" t="s">
        <v>236</v>
      </c>
      <c r="C92" s="7" t="s">
        <v>96</v>
      </c>
      <c r="D92" s="7" t="s">
        <v>240</v>
      </c>
      <c r="E92" s="7" t="s">
        <v>98</v>
      </c>
      <c r="F92" s="7"/>
      <c r="G92" s="7" t="s">
        <v>241</v>
      </c>
      <c r="H92" s="7" t="s">
        <v>237</v>
      </c>
      <c r="I92" s="7" t="s">
        <v>154</v>
      </c>
    </row>
    <row r="93" customFormat="false" ht="15" hidden="false" customHeight="false" outlineLevel="0" collapsed="false">
      <c r="A93" s="7" t="s">
        <v>236</v>
      </c>
      <c r="B93" s="7" t="s">
        <v>236</v>
      </c>
      <c r="C93" s="7" t="s">
        <v>96</v>
      </c>
      <c r="D93" s="7" t="s">
        <v>232</v>
      </c>
      <c r="E93" s="7" t="s">
        <v>98</v>
      </c>
      <c r="F93" s="7"/>
      <c r="G93" s="7"/>
      <c r="H93" s="7" t="s">
        <v>237</v>
      </c>
      <c r="I93" s="7" t="s">
        <v>154</v>
      </c>
    </row>
    <row r="94" customFormat="false" ht="15" hidden="false" customHeight="false" outlineLevel="0" collapsed="false">
      <c r="A94" s="7" t="s">
        <v>236</v>
      </c>
      <c r="B94" s="7" t="s">
        <v>236</v>
      </c>
      <c r="C94" s="7" t="s">
        <v>96</v>
      </c>
      <c r="D94" s="7" t="s">
        <v>242</v>
      </c>
      <c r="E94" s="7" t="s">
        <v>98</v>
      </c>
      <c r="F94" s="7"/>
      <c r="G94" s="7" t="s">
        <v>243</v>
      </c>
      <c r="H94" s="7" t="s">
        <v>237</v>
      </c>
      <c r="I94" s="7" t="s">
        <v>154</v>
      </c>
    </row>
    <row r="95" customFormat="false" ht="22.35" hidden="false" customHeight="false" outlineLevel="0" collapsed="false">
      <c r="A95" s="7" t="s">
        <v>244</v>
      </c>
      <c r="B95" s="7" t="s">
        <v>244</v>
      </c>
      <c r="C95" s="7" t="s">
        <v>96</v>
      </c>
      <c r="D95" s="7" t="s">
        <v>245</v>
      </c>
      <c r="E95" s="7" t="s">
        <v>98</v>
      </c>
      <c r="F95" s="7" t="s">
        <v>139</v>
      </c>
      <c r="G95" s="7"/>
      <c r="H95" s="7" t="s">
        <v>246</v>
      </c>
      <c r="I95" s="7" t="s">
        <v>154</v>
      </c>
    </row>
    <row r="96" customFormat="false" ht="22.35" hidden="false" customHeight="false" outlineLevel="0" collapsed="false">
      <c r="A96" s="7" t="s">
        <v>244</v>
      </c>
      <c r="B96" s="7" t="s">
        <v>244</v>
      </c>
      <c r="C96" s="7" t="s">
        <v>96</v>
      </c>
      <c r="D96" s="7" t="s">
        <v>247</v>
      </c>
      <c r="E96" s="7" t="s">
        <v>98</v>
      </c>
      <c r="F96" s="7"/>
      <c r="G96" s="7"/>
      <c r="H96" s="7" t="s">
        <v>246</v>
      </c>
      <c r="I96" s="7" t="s">
        <v>154</v>
      </c>
    </row>
    <row r="97" customFormat="false" ht="22.35" hidden="false" customHeight="false" outlineLevel="0" collapsed="false">
      <c r="A97" s="7" t="s">
        <v>244</v>
      </c>
      <c r="B97" s="7" t="s">
        <v>244</v>
      </c>
      <c r="C97" s="7" t="s">
        <v>96</v>
      </c>
      <c r="D97" s="7" t="s">
        <v>231</v>
      </c>
      <c r="E97" s="7" t="s">
        <v>98</v>
      </c>
      <c r="F97" s="7" t="s">
        <v>99</v>
      </c>
      <c r="G97" s="7"/>
      <c r="H97" s="7" t="s">
        <v>246</v>
      </c>
      <c r="I97" s="7" t="s">
        <v>154</v>
      </c>
    </row>
    <row r="98" customFormat="false" ht="22.35" hidden="false" customHeight="false" outlineLevel="0" collapsed="false">
      <c r="A98" s="7" t="s">
        <v>244</v>
      </c>
      <c r="B98" s="7" t="s">
        <v>244</v>
      </c>
      <c r="C98" s="7" t="s">
        <v>96</v>
      </c>
      <c r="D98" s="7" t="s">
        <v>248</v>
      </c>
      <c r="E98" s="7" t="s">
        <v>144</v>
      </c>
      <c r="F98" s="7"/>
      <c r="G98" s="7" t="s">
        <v>249</v>
      </c>
      <c r="H98" s="7" t="s">
        <v>246</v>
      </c>
      <c r="I98" s="7" t="s">
        <v>154</v>
      </c>
    </row>
    <row r="99" customFormat="false" ht="22.35" hidden="false" customHeight="false" outlineLevel="0" collapsed="false">
      <c r="A99" s="7" t="s">
        <v>244</v>
      </c>
      <c r="B99" s="7" t="s">
        <v>244</v>
      </c>
      <c r="C99" s="7" t="s">
        <v>96</v>
      </c>
      <c r="D99" s="7" t="s">
        <v>250</v>
      </c>
      <c r="E99" s="7" t="s">
        <v>113</v>
      </c>
      <c r="F99" s="7"/>
      <c r="G99" s="7" t="s">
        <v>251</v>
      </c>
      <c r="H99" s="7" t="s">
        <v>246</v>
      </c>
      <c r="I99" s="7" t="s">
        <v>154</v>
      </c>
    </row>
    <row r="100" customFormat="false" ht="15" hidden="false" customHeight="false" outlineLevel="0" collapsed="false">
      <c r="A100" s="6" t="s">
        <v>252</v>
      </c>
      <c r="B100" s="6" t="s">
        <v>252</v>
      </c>
      <c r="C100" s="6" t="s">
        <v>96</v>
      </c>
      <c r="D100" s="6" t="s">
        <v>245</v>
      </c>
      <c r="E100" s="6" t="s">
        <v>98</v>
      </c>
      <c r="F100" s="6" t="s">
        <v>99</v>
      </c>
      <c r="G100" s="6"/>
      <c r="H100" s="6" t="s">
        <v>253</v>
      </c>
      <c r="I100" s="6"/>
    </row>
    <row r="101" customFormat="false" ht="15" hidden="false" customHeight="false" outlineLevel="0" collapsed="false">
      <c r="A101" s="6" t="s">
        <v>252</v>
      </c>
      <c r="B101" s="6" t="s">
        <v>252</v>
      </c>
      <c r="C101" s="6" t="s">
        <v>96</v>
      </c>
      <c r="D101" s="6" t="s">
        <v>247</v>
      </c>
      <c r="E101" s="6" t="s">
        <v>98</v>
      </c>
      <c r="F101" s="6"/>
      <c r="G101" s="6"/>
      <c r="H101" s="6" t="s">
        <v>253</v>
      </c>
      <c r="I101" s="6"/>
    </row>
    <row r="102" customFormat="false" ht="15" hidden="false" customHeight="false" outlineLevel="0" collapsed="false">
      <c r="A102" s="6" t="s">
        <v>252</v>
      </c>
      <c r="B102" s="6" t="s">
        <v>252</v>
      </c>
      <c r="C102" s="6" t="s">
        <v>96</v>
      </c>
      <c r="D102" s="6" t="s">
        <v>254</v>
      </c>
      <c r="E102" s="6" t="s">
        <v>98</v>
      </c>
      <c r="F102" s="6" t="s">
        <v>99</v>
      </c>
      <c r="G102" s="6"/>
      <c r="H102" s="6" t="s">
        <v>253</v>
      </c>
      <c r="I102" s="6"/>
    </row>
    <row r="103" customFormat="false" ht="15" hidden="false" customHeight="false" outlineLevel="0" collapsed="false">
      <c r="A103" s="6" t="s">
        <v>252</v>
      </c>
      <c r="B103" s="6" t="s">
        <v>252</v>
      </c>
      <c r="C103" s="6" t="s">
        <v>96</v>
      </c>
      <c r="D103" s="6" t="s">
        <v>255</v>
      </c>
      <c r="E103" s="6" t="s">
        <v>144</v>
      </c>
      <c r="F103" s="6"/>
      <c r="G103" s="6" t="s">
        <v>256</v>
      </c>
      <c r="H103" s="6" t="s">
        <v>253</v>
      </c>
      <c r="I103" s="6"/>
    </row>
    <row r="104" customFormat="false" ht="15" hidden="false" customHeight="false" outlineLevel="0" collapsed="false">
      <c r="A104" s="7" t="s">
        <v>257</v>
      </c>
      <c r="B104" s="7" t="s">
        <v>257</v>
      </c>
      <c r="C104" s="7" t="s">
        <v>96</v>
      </c>
      <c r="D104" s="7" t="s">
        <v>258</v>
      </c>
      <c r="E104" s="7" t="s">
        <v>98</v>
      </c>
      <c r="F104" s="7" t="s">
        <v>99</v>
      </c>
      <c r="G104" s="7"/>
      <c r="H104" s="7" t="s">
        <v>259</v>
      </c>
      <c r="I104" s="7" t="s">
        <v>154</v>
      </c>
    </row>
    <row r="105" customFormat="false" ht="15" hidden="false" customHeight="false" outlineLevel="0" collapsed="false">
      <c r="A105" s="7" t="s">
        <v>257</v>
      </c>
      <c r="B105" s="7" t="s">
        <v>257</v>
      </c>
      <c r="C105" s="7" t="s">
        <v>96</v>
      </c>
      <c r="D105" s="7" t="s">
        <v>260</v>
      </c>
      <c r="E105" s="7" t="s">
        <v>98</v>
      </c>
      <c r="F105" s="7"/>
      <c r="G105" s="7" t="s">
        <v>261</v>
      </c>
      <c r="H105" s="7" t="s">
        <v>259</v>
      </c>
      <c r="I105" s="7" t="s">
        <v>154</v>
      </c>
    </row>
    <row r="106" customFormat="false" ht="15" hidden="false" customHeight="false" outlineLevel="0" collapsed="false">
      <c r="A106" s="7" t="s">
        <v>257</v>
      </c>
      <c r="B106" s="7" t="s">
        <v>257</v>
      </c>
      <c r="C106" s="7" t="s">
        <v>96</v>
      </c>
      <c r="D106" s="7" t="s">
        <v>262</v>
      </c>
      <c r="E106" s="7" t="s">
        <v>98</v>
      </c>
      <c r="F106" s="7" t="s">
        <v>172</v>
      </c>
      <c r="G106" s="7"/>
      <c r="H106" s="7" t="s">
        <v>259</v>
      </c>
      <c r="I106" s="7" t="s">
        <v>154</v>
      </c>
    </row>
    <row r="107" customFormat="false" ht="15" hidden="false" customHeight="false" outlineLevel="0" collapsed="false">
      <c r="A107" s="7" t="s">
        <v>257</v>
      </c>
      <c r="B107" s="7" t="s">
        <v>257</v>
      </c>
      <c r="C107" s="7" t="s">
        <v>96</v>
      </c>
      <c r="D107" s="7" t="s">
        <v>263</v>
      </c>
      <c r="E107" s="7" t="s">
        <v>98</v>
      </c>
      <c r="F107" s="7"/>
      <c r="G107" s="7" t="s">
        <v>264</v>
      </c>
      <c r="H107" s="7" t="s">
        <v>259</v>
      </c>
      <c r="I107" s="7" t="s">
        <v>154</v>
      </c>
    </row>
    <row r="108" customFormat="false" ht="15" hidden="false" customHeight="false" outlineLevel="0" collapsed="false">
      <c r="A108" s="7" t="s">
        <v>257</v>
      </c>
      <c r="B108" s="7" t="s">
        <v>257</v>
      </c>
      <c r="C108" s="7" t="s">
        <v>96</v>
      </c>
      <c r="D108" s="7" t="s">
        <v>265</v>
      </c>
      <c r="E108" s="7" t="s">
        <v>98</v>
      </c>
      <c r="F108" s="7"/>
      <c r="G108" s="7"/>
      <c r="H108" s="7" t="s">
        <v>259</v>
      </c>
      <c r="I108" s="7" t="s">
        <v>154</v>
      </c>
    </row>
    <row r="109" customFormat="false" ht="15" hidden="false" customHeight="false" outlineLevel="0" collapsed="false">
      <c r="A109" s="7" t="s">
        <v>257</v>
      </c>
      <c r="B109" s="7" t="s">
        <v>257</v>
      </c>
      <c r="C109" s="7" t="s">
        <v>96</v>
      </c>
      <c r="D109" s="7" t="s">
        <v>266</v>
      </c>
      <c r="E109" s="7" t="s">
        <v>144</v>
      </c>
      <c r="F109" s="7"/>
      <c r="G109" s="7" t="s">
        <v>267</v>
      </c>
      <c r="H109" s="7" t="s">
        <v>259</v>
      </c>
      <c r="I109" s="7" t="s">
        <v>154</v>
      </c>
    </row>
    <row r="110" customFormat="false" ht="15" hidden="false" customHeight="false" outlineLevel="0" collapsed="false">
      <c r="A110" s="7" t="s">
        <v>257</v>
      </c>
      <c r="B110" s="7" t="s">
        <v>257</v>
      </c>
      <c r="C110" s="7" t="s">
        <v>96</v>
      </c>
      <c r="D110" s="7" t="s">
        <v>242</v>
      </c>
      <c r="E110" s="7" t="s">
        <v>98</v>
      </c>
      <c r="F110" s="7"/>
      <c r="G110" s="7" t="s">
        <v>268</v>
      </c>
      <c r="H110" s="7" t="s">
        <v>259</v>
      </c>
      <c r="I110" s="7" t="s">
        <v>154</v>
      </c>
    </row>
    <row r="111" customFormat="false" ht="15" hidden="false" customHeight="false" outlineLevel="0" collapsed="false">
      <c r="A111" s="6" t="s">
        <v>269</v>
      </c>
      <c r="B111" s="6" t="s">
        <v>269</v>
      </c>
      <c r="C111" s="6" t="s">
        <v>96</v>
      </c>
      <c r="D111" s="6" t="s">
        <v>97</v>
      </c>
      <c r="E111" s="6" t="s">
        <v>98</v>
      </c>
      <c r="F111" s="6" t="s">
        <v>139</v>
      </c>
      <c r="G111" s="6"/>
      <c r="H111" s="6" t="s">
        <v>270</v>
      </c>
      <c r="I111" s="6"/>
    </row>
    <row r="112" customFormat="false" ht="15" hidden="false" customHeight="false" outlineLevel="0" collapsed="false">
      <c r="A112" s="6" t="s">
        <v>269</v>
      </c>
      <c r="B112" s="6" t="s">
        <v>269</v>
      </c>
      <c r="C112" s="6" t="s">
        <v>96</v>
      </c>
      <c r="D112" s="6" t="s">
        <v>228</v>
      </c>
      <c r="E112" s="6" t="s">
        <v>98</v>
      </c>
      <c r="F112" s="6" t="s">
        <v>139</v>
      </c>
      <c r="G112" s="6"/>
      <c r="H112" s="6" t="s">
        <v>270</v>
      </c>
      <c r="I112" s="6"/>
    </row>
    <row r="113" customFormat="false" ht="15" hidden="false" customHeight="false" outlineLevel="0" collapsed="false">
      <c r="A113" s="6" t="s">
        <v>269</v>
      </c>
      <c r="B113" s="6" t="s">
        <v>269</v>
      </c>
      <c r="C113" s="6" t="s">
        <v>96</v>
      </c>
      <c r="D113" s="6" t="s">
        <v>271</v>
      </c>
      <c r="E113" s="6" t="s">
        <v>116</v>
      </c>
      <c r="F113" s="6"/>
      <c r="G113" s="6"/>
      <c r="H113" s="6" t="s">
        <v>270</v>
      </c>
      <c r="I113" s="6"/>
    </row>
    <row r="114" customFormat="false" ht="15" hidden="false" customHeight="false" outlineLevel="0" collapsed="false">
      <c r="A114" s="6" t="s">
        <v>269</v>
      </c>
      <c r="B114" s="6" t="s">
        <v>269</v>
      </c>
      <c r="C114" s="6" t="s">
        <v>96</v>
      </c>
      <c r="D114" s="6" t="s">
        <v>272</v>
      </c>
      <c r="E114" s="6" t="s">
        <v>116</v>
      </c>
      <c r="F114" s="6"/>
      <c r="G114" s="6"/>
      <c r="H114" s="6" t="s">
        <v>270</v>
      </c>
      <c r="I114" s="6"/>
    </row>
    <row r="115" customFormat="false" ht="15" hidden="false" customHeight="false" outlineLevel="0" collapsed="false">
      <c r="A115" s="6" t="s">
        <v>269</v>
      </c>
      <c r="B115" s="6" t="s">
        <v>269</v>
      </c>
      <c r="C115" s="6" t="s">
        <v>96</v>
      </c>
      <c r="D115" s="6" t="s">
        <v>273</v>
      </c>
      <c r="E115" s="6" t="s">
        <v>116</v>
      </c>
      <c r="F115" s="6"/>
      <c r="G115" s="6"/>
      <c r="H115" s="6" t="s">
        <v>270</v>
      </c>
      <c r="I115" s="6"/>
    </row>
    <row r="116" customFormat="false" ht="15" hidden="false" customHeight="false" outlineLevel="0" collapsed="false">
      <c r="A116" s="6" t="s">
        <v>269</v>
      </c>
      <c r="B116" s="6" t="s">
        <v>269</v>
      </c>
      <c r="C116" s="6" t="s">
        <v>96</v>
      </c>
      <c r="D116" s="6" t="s">
        <v>274</v>
      </c>
      <c r="E116" s="6" t="s">
        <v>116</v>
      </c>
      <c r="F116" s="6"/>
      <c r="G116" s="6"/>
      <c r="H116" s="6" t="s">
        <v>270</v>
      </c>
      <c r="I116" s="6"/>
    </row>
    <row r="117" customFormat="false" ht="15" hidden="false" customHeight="false" outlineLevel="0" collapsed="false">
      <c r="A117" s="6" t="s">
        <v>269</v>
      </c>
      <c r="B117" s="6" t="s">
        <v>269</v>
      </c>
      <c r="C117" s="6" t="s">
        <v>96</v>
      </c>
      <c r="D117" s="6" t="s">
        <v>275</v>
      </c>
      <c r="E117" s="6" t="s">
        <v>116</v>
      </c>
      <c r="F117" s="6"/>
      <c r="G117" s="6" t="s">
        <v>276</v>
      </c>
      <c r="H117" s="6" t="s">
        <v>270</v>
      </c>
      <c r="I117" s="6"/>
    </row>
    <row r="118" customFormat="false" ht="15" hidden="false" customHeight="false" outlineLevel="0" collapsed="false">
      <c r="A118" s="6" t="s">
        <v>269</v>
      </c>
      <c r="B118" s="6" t="s">
        <v>269</v>
      </c>
      <c r="C118" s="6" t="s">
        <v>96</v>
      </c>
      <c r="D118" s="6" t="s">
        <v>277</v>
      </c>
      <c r="E118" s="6" t="s">
        <v>119</v>
      </c>
      <c r="F118" s="6"/>
      <c r="G118" s="6" t="s">
        <v>278</v>
      </c>
      <c r="H118" s="6" t="s">
        <v>270</v>
      </c>
      <c r="I118" s="6"/>
    </row>
    <row r="119" customFormat="false" ht="15" hidden="false" customHeight="false" outlineLevel="0" collapsed="false">
      <c r="A119" s="6" t="s">
        <v>269</v>
      </c>
      <c r="B119" s="6" t="s">
        <v>269</v>
      </c>
      <c r="C119" s="6" t="s">
        <v>96</v>
      </c>
      <c r="D119" s="6" t="s">
        <v>279</v>
      </c>
      <c r="E119" s="6" t="s">
        <v>98</v>
      </c>
      <c r="F119" s="6"/>
      <c r="G119" s="6" t="s">
        <v>280</v>
      </c>
      <c r="H119" s="6" t="s">
        <v>270</v>
      </c>
      <c r="I119" s="6"/>
    </row>
    <row r="120" customFormat="false" ht="15" hidden="false" customHeight="false" outlineLevel="0" collapsed="false">
      <c r="A120" s="6" t="s">
        <v>281</v>
      </c>
      <c r="B120" s="6" t="s">
        <v>281</v>
      </c>
      <c r="C120" s="6" t="s">
        <v>96</v>
      </c>
      <c r="D120" s="6" t="s">
        <v>228</v>
      </c>
      <c r="E120" s="6" t="s">
        <v>98</v>
      </c>
      <c r="F120" s="6" t="s">
        <v>139</v>
      </c>
      <c r="G120" s="6"/>
      <c r="H120" s="6" t="s">
        <v>282</v>
      </c>
      <c r="I120" s="6"/>
    </row>
    <row r="121" customFormat="false" ht="15" hidden="false" customHeight="false" outlineLevel="0" collapsed="false">
      <c r="A121" s="6" t="s">
        <v>281</v>
      </c>
      <c r="B121" s="6" t="s">
        <v>281</v>
      </c>
      <c r="C121" s="6" t="s">
        <v>96</v>
      </c>
      <c r="D121" s="6" t="s">
        <v>283</v>
      </c>
      <c r="E121" s="6" t="s">
        <v>119</v>
      </c>
      <c r="F121" s="6" t="s">
        <v>99</v>
      </c>
      <c r="G121" s="6"/>
      <c r="H121" s="6" t="s">
        <v>282</v>
      </c>
      <c r="I121" s="6"/>
    </row>
    <row r="122" customFormat="false" ht="22.35" hidden="false" customHeight="false" outlineLevel="0" collapsed="false">
      <c r="A122" s="6" t="s">
        <v>281</v>
      </c>
      <c r="B122" s="6" t="s">
        <v>281</v>
      </c>
      <c r="C122" s="6" t="s">
        <v>96</v>
      </c>
      <c r="D122" s="6" t="s">
        <v>284</v>
      </c>
      <c r="E122" s="6" t="s">
        <v>150</v>
      </c>
      <c r="F122" s="6"/>
      <c r="G122" s="6"/>
      <c r="H122" s="6" t="s">
        <v>282</v>
      </c>
      <c r="I122" s="6"/>
    </row>
    <row r="123" customFormat="false" ht="22.35" hidden="false" customHeight="false" outlineLevel="0" collapsed="false">
      <c r="A123" s="6" t="s">
        <v>281</v>
      </c>
      <c r="B123" s="6" t="s">
        <v>281</v>
      </c>
      <c r="C123" s="6" t="s">
        <v>96</v>
      </c>
      <c r="D123" s="6" t="s">
        <v>285</v>
      </c>
      <c r="E123" s="6" t="s">
        <v>150</v>
      </c>
      <c r="F123" s="6"/>
      <c r="G123" s="6"/>
      <c r="H123" s="6" t="s">
        <v>282</v>
      </c>
      <c r="I123" s="6"/>
    </row>
    <row r="124" customFormat="false" ht="15" hidden="false" customHeight="false" outlineLevel="0" collapsed="false">
      <c r="A124" s="6" t="s">
        <v>281</v>
      </c>
      <c r="B124" s="6" t="s">
        <v>281</v>
      </c>
      <c r="C124" s="6" t="s">
        <v>96</v>
      </c>
      <c r="D124" s="6" t="s">
        <v>286</v>
      </c>
      <c r="E124" s="6" t="s">
        <v>98</v>
      </c>
      <c r="F124" s="6"/>
      <c r="G124" s="6" t="s">
        <v>287</v>
      </c>
      <c r="H124" s="6" t="s">
        <v>282</v>
      </c>
      <c r="I124" s="6"/>
    </row>
    <row r="125" customFormat="false" ht="15" hidden="false" customHeight="false" outlineLevel="0" collapsed="false">
      <c r="A125" s="6" t="s">
        <v>281</v>
      </c>
      <c r="B125" s="6" t="s">
        <v>281</v>
      </c>
      <c r="C125" s="6" t="s">
        <v>96</v>
      </c>
      <c r="D125" s="6" t="s">
        <v>242</v>
      </c>
      <c r="E125" s="6" t="s">
        <v>98</v>
      </c>
      <c r="F125" s="6"/>
      <c r="G125" s="6" t="s">
        <v>288</v>
      </c>
      <c r="H125" s="6" t="s">
        <v>282</v>
      </c>
      <c r="I125" s="6"/>
    </row>
    <row r="126" customFormat="false" ht="15" hidden="false" customHeight="false" outlineLevel="0" collapsed="false">
      <c r="A126" s="7" t="s">
        <v>289</v>
      </c>
      <c r="B126" s="7" t="s">
        <v>289</v>
      </c>
      <c r="C126" s="7" t="s">
        <v>96</v>
      </c>
      <c r="D126" s="7" t="s">
        <v>290</v>
      </c>
      <c r="E126" s="7" t="s">
        <v>98</v>
      </c>
      <c r="F126" s="7" t="s">
        <v>99</v>
      </c>
      <c r="G126" s="7"/>
      <c r="H126" s="7" t="s">
        <v>291</v>
      </c>
      <c r="I126" s="7" t="s">
        <v>154</v>
      </c>
    </row>
    <row r="127" customFormat="false" ht="15" hidden="false" customHeight="false" outlineLevel="0" collapsed="false">
      <c r="A127" s="7" t="s">
        <v>289</v>
      </c>
      <c r="B127" s="7" t="s">
        <v>289</v>
      </c>
      <c r="C127" s="7" t="s">
        <v>96</v>
      </c>
      <c r="D127" s="7" t="s">
        <v>292</v>
      </c>
      <c r="E127" s="7" t="s">
        <v>98</v>
      </c>
      <c r="F127" s="7"/>
      <c r="G127" s="7" t="s">
        <v>293</v>
      </c>
      <c r="H127" s="7" t="s">
        <v>291</v>
      </c>
      <c r="I127" s="7" t="s">
        <v>154</v>
      </c>
    </row>
    <row r="128" customFormat="false" ht="15" hidden="false" customHeight="false" outlineLevel="0" collapsed="false">
      <c r="A128" s="7" t="s">
        <v>289</v>
      </c>
      <c r="B128" s="7" t="s">
        <v>289</v>
      </c>
      <c r="C128" s="7" t="s">
        <v>96</v>
      </c>
      <c r="D128" s="7" t="s">
        <v>294</v>
      </c>
      <c r="E128" s="7" t="s">
        <v>98</v>
      </c>
      <c r="F128" s="7"/>
      <c r="G128" s="7" t="s">
        <v>295</v>
      </c>
      <c r="H128" s="7" t="s">
        <v>291</v>
      </c>
      <c r="I128" s="7" t="s">
        <v>154</v>
      </c>
    </row>
    <row r="129" customFormat="false" ht="15" hidden="false" customHeight="false" outlineLevel="0" collapsed="false">
      <c r="A129" s="7" t="s">
        <v>289</v>
      </c>
      <c r="B129" s="7" t="s">
        <v>289</v>
      </c>
      <c r="C129" s="7" t="s">
        <v>96</v>
      </c>
      <c r="D129" s="7" t="s">
        <v>296</v>
      </c>
      <c r="E129" s="7" t="s">
        <v>98</v>
      </c>
      <c r="F129" s="7"/>
      <c r="G129" s="7"/>
      <c r="H129" s="7" t="s">
        <v>291</v>
      </c>
      <c r="I129" s="7" t="s">
        <v>154</v>
      </c>
    </row>
    <row r="130" customFormat="false" ht="15" hidden="false" customHeight="false" outlineLevel="0" collapsed="false">
      <c r="A130" s="7" t="s">
        <v>289</v>
      </c>
      <c r="B130" s="7" t="s">
        <v>289</v>
      </c>
      <c r="C130" s="7" t="s">
        <v>96</v>
      </c>
      <c r="D130" s="7" t="s">
        <v>297</v>
      </c>
      <c r="E130" s="7" t="s">
        <v>98</v>
      </c>
      <c r="F130" s="7"/>
      <c r="G130" s="7"/>
      <c r="H130" s="7" t="s">
        <v>291</v>
      </c>
      <c r="I130" s="7" t="s">
        <v>154</v>
      </c>
    </row>
    <row r="131" customFormat="false" ht="15" hidden="false" customHeight="false" outlineLevel="0" collapsed="false">
      <c r="A131" s="7" t="s">
        <v>289</v>
      </c>
      <c r="B131" s="7" t="s">
        <v>289</v>
      </c>
      <c r="C131" s="7" t="s">
        <v>96</v>
      </c>
      <c r="D131" s="7" t="s">
        <v>298</v>
      </c>
      <c r="E131" s="7" t="s">
        <v>98</v>
      </c>
      <c r="F131" s="7"/>
      <c r="G131" s="7"/>
      <c r="H131" s="7" t="s">
        <v>291</v>
      </c>
      <c r="I131" s="7" t="s">
        <v>154</v>
      </c>
    </row>
    <row r="132" customFormat="false" ht="15" hidden="false" customHeight="false" outlineLevel="0" collapsed="false">
      <c r="A132" s="7" t="s">
        <v>289</v>
      </c>
      <c r="B132" s="7" t="s">
        <v>289</v>
      </c>
      <c r="C132" s="7" t="s">
        <v>96</v>
      </c>
      <c r="D132" s="7" t="s">
        <v>299</v>
      </c>
      <c r="E132" s="7" t="s">
        <v>144</v>
      </c>
      <c r="F132" s="7"/>
      <c r="G132" s="7" t="s">
        <v>300</v>
      </c>
      <c r="H132" s="7" t="s">
        <v>291</v>
      </c>
      <c r="I132" s="7" t="s">
        <v>154</v>
      </c>
    </row>
    <row r="133" customFormat="false" ht="15" hidden="false" customHeight="false" outlineLevel="0" collapsed="false">
      <c r="A133" s="7" t="s">
        <v>289</v>
      </c>
      <c r="B133" s="7" t="s">
        <v>289</v>
      </c>
      <c r="C133" s="7" t="s">
        <v>96</v>
      </c>
      <c r="D133" s="7" t="s">
        <v>120</v>
      </c>
      <c r="E133" s="7" t="s">
        <v>98</v>
      </c>
      <c r="F133" s="7"/>
      <c r="G133" s="7" t="s">
        <v>301</v>
      </c>
      <c r="H133" s="7" t="s">
        <v>291</v>
      </c>
      <c r="I133" s="7" t="s">
        <v>154</v>
      </c>
    </row>
    <row r="134" customFormat="false" ht="15" hidden="false" customHeight="false" outlineLevel="0" collapsed="false">
      <c r="A134" s="6" t="s">
        <v>302</v>
      </c>
      <c r="B134" s="6" t="s">
        <v>302</v>
      </c>
      <c r="C134" s="6" t="s">
        <v>303</v>
      </c>
      <c r="D134" s="6" t="s">
        <v>304</v>
      </c>
      <c r="E134" s="6" t="s">
        <v>119</v>
      </c>
      <c r="F134" s="6" t="s">
        <v>99</v>
      </c>
      <c r="G134" s="6"/>
      <c r="H134" s="6" t="s">
        <v>305</v>
      </c>
      <c r="I134" s="6"/>
    </row>
    <row r="135" customFormat="false" ht="15" hidden="false" customHeight="false" outlineLevel="0" collapsed="false">
      <c r="A135" s="6" t="s">
        <v>302</v>
      </c>
      <c r="B135" s="6" t="s">
        <v>302</v>
      </c>
      <c r="C135" s="6" t="s">
        <v>303</v>
      </c>
      <c r="D135" s="6" t="s">
        <v>97</v>
      </c>
      <c r="E135" s="6" t="s">
        <v>98</v>
      </c>
      <c r="F135" s="6" t="s">
        <v>139</v>
      </c>
      <c r="G135" s="6"/>
      <c r="H135" s="6" t="s">
        <v>305</v>
      </c>
      <c r="I135" s="6"/>
    </row>
    <row r="136" customFormat="false" ht="15" hidden="false" customHeight="false" outlineLevel="0" collapsed="false">
      <c r="A136" s="6" t="s">
        <v>302</v>
      </c>
      <c r="B136" s="6" t="s">
        <v>302</v>
      </c>
      <c r="C136" s="6" t="s">
        <v>303</v>
      </c>
      <c r="D136" s="6" t="s">
        <v>228</v>
      </c>
      <c r="E136" s="6" t="s">
        <v>98</v>
      </c>
      <c r="F136" s="6" t="s">
        <v>139</v>
      </c>
      <c r="G136" s="6"/>
      <c r="H136" s="6" t="s">
        <v>305</v>
      </c>
      <c r="I136" s="6"/>
    </row>
    <row r="137" customFormat="false" ht="15" hidden="false" customHeight="false" outlineLevel="0" collapsed="false">
      <c r="A137" s="6" t="s">
        <v>302</v>
      </c>
      <c r="B137" s="6" t="s">
        <v>302</v>
      </c>
      <c r="C137" s="6" t="s">
        <v>303</v>
      </c>
      <c r="D137" s="6" t="s">
        <v>306</v>
      </c>
      <c r="E137" s="6" t="s">
        <v>116</v>
      </c>
      <c r="F137" s="6"/>
      <c r="G137" s="6"/>
      <c r="H137" s="6" t="s">
        <v>305</v>
      </c>
      <c r="I137" s="6"/>
    </row>
    <row r="138" customFormat="false" ht="22.35" hidden="false" customHeight="false" outlineLevel="0" collapsed="false">
      <c r="A138" s="6" t="s">
        <v>302</v>
      </c>
      <c r="B138" s="6" t="s">
        <v>302</v>
      </c>
      <c r="C138" s="6" t="s">
        <v>303</v>
      </c>
      <c r="D138" s="6" t="s">
        <v>307</v>
      </c>
      <c r="E138" s="6" t="s">
        <v>150</v>
      </c>
      <c r="F138" s="6"/>
      <c r="G138" s="6"/>
      <c r="H138" s="6" t="s">
        <v>305</v>
      </c>
      <c r="I138" s="6"/>
    </row>
    <row r="139" customFormat="false" ht="22.35" hidden="false" customHeight="false" outlineLevel="0" collapsed="false">
      <c r="A139" s="6" t="s">
        <v>302</v>
      </c>
      <c r="B139" s="6" t="s">
        <v>302</v>
      </c>
      <c r="C139" s="6" t="s">
        <v>303</v>
      </c>
      <c r="D139" s="6" t="s">
        <v>308</v>
      </c>
      <c r="E139" s="6" t="s">
        <v>150</v>
      </c>
      <c r="F139" s="6"/>
      <c r="G139" s="6"/>
      <c r="H139" s="6" t="s">
        <v>305</v>
      </c>
      <c r="I139" s="6"/>
    </row>
    <row r="140" customFormat="false" ht="22.35" hidden="false" customHeight="false" outlineLevel="0" collapsed="false">
      <c r="A140" s="6" t="s">
        <v>302</v>
      </c>
      <c r="B140" s="6" t="s">
        <v>302</v>
      </c>
      <c r="C140" s="6" t="s">
        <v>303</v>
      </c>
      <c r="D140" s="6" t="s">
        <v>309</v>
      </c>
      <c r="E140" s="6" t="s">
        <v>150</v>
      </c>
      <c r="F140" s="6"/>
      <c r="G140" s="6" t="s">
        <v>310</v>
      </c>
      <c r="H140" s="6" t="s">
        <v>305</v>
      </c>
      <c r="I140" s="6"/>
    </row>
    <row r="141" customFormat="false" ht="15" hidden="false" customHeight="false" outlineLevel="0" collapsed="false">
      <c r="A141" s="6" t="s">
        <v>302</v>
      </c>
      <c r="B141" s="6" t="s">
        <v>302</v>
      </c>
      <c r="C141" s="6" t="s">
        <v>303</v>
      </c>
      <c r="D141" s="6" t="s">
        <v>311</v>
      </c>
      <c r="E141" s="6" t="s">
        <v>113</v>
      </c>
      <c r="F141" s="6"/>
      <c r="G141" s="6"/>
      <c r="H141" s="6" t="s">
        <v>305</v>
      </c>
      <c r="I141" s="6"/>
    </row>
    <row r="142" customFormat="false" ht="15" hidden="false" customHeight="false" outlineLevel="0" collapsed="false">
      <c r="A142" s="6" t="s">
        <v>302</v>
      </c>
      <c r="B142" s="6" t="s">
        <v>302</v>
      </c>
      <c r="C142" s="6" t="s">
        <v>303</v>
      </c>
      <c r="D142" s="6" t="s">
        <v>312</v>
      </c>
      <c r="E142" s="6" t="s">
        <v>113</v>
      </c>
      <c r="F142" s="6"/>
      <c r="G142" s="6" t="s">
        <v>313</v>
      </c>
      <c r="H142" s="6" t="s">
        <v>305</v>
      </c>
      <c r="I142" s="6"/>
    </row>
    <row r="143" customFormat="false" ht="15" hidden="false" customHeight="false" outlineLevel="0" collapsed="false">
      <c r="A143" s="6" t="s">
        <v>314</v>
      </c>
      <c r="B143" s="6" t="s">
        <v>314</v>
      </c>
      <c r="C143" s="6" t="s">
        <v>303</v>
      </c>
      <c r="D143" s="6" t="s">
        <v>315</v>
      </c>
      <c r="E143" s="6" t="s">
        <v>119</v>
      </c>
      <c r="F143" s="6" t="s">
        <v>99</v>
      </c>
      <c r="G143" s="6"/>
      <c r="H143" s="6" t="s">
        <v>316</v>
      </c>
      <c r="I143" s="6"/>
    </row>
    <row r="144" customFormat="false" ht="15" hidden="false" customHeight="false" outlineLevel="0" collapsed="false">
      <c r="A144" s="6" t="s">
        <v>314</v>
      </c>
      <c r="B144" s="6" t="s">
        <v>314</v>
      </c>
      <c r="C144" s="6" t="s">
        <v>303</v>
      </c>
      <c r="D144" s="6" t="s">
        <v>97</v>
      </c>
      <c r="E144" s="6" t="s">
        <v>98</v>
      </c>
      <c r="F144" s="6" t="s">
        <v>139</v>
      </c>
      <c r="G144" s="6"/>
      <c r="H144" s="6" t="s">
        <v>316</v>
      </c>
      <c r="I144" s="6"/>
    </row>
    <row r="145" customFormat="false" ht="15" hidden="false" customHeight="false" outlineLevel="0" collapsed="false">
      <c r="A145" s="6" t="s">
        <v>314</v>
      </c>
      <c r="B145" s="6" t="s">
        <v>314</v>
      </c>
      <c r="C145" s="6" t="s">
        <v>303</v>
      </c>
      <c r="D145" s="6" t="s">
        <v>228</v>
      </c>
      <c r="E145" s="6" t="s">
        <v>98</v>
      </c>
      <c r="F145" s="6" t="s">
        <v>139</v>
      </c>
      <c r="G145" s="6"/>
      <c r="H145" s="6" t="s">
        <v>316</v>
      </c>
      <c r="I145" s="6"/>
    </row>
    <row r="146" customFormat="false" ht="15" hidden="false" customHeight="false" outlineLevel="0" collapsed="false">
      <c r="A146" s="6" t="s">
        <v>314</v>
      </c>
      <c r="B146" s="6" t="s">
        <v>314</v>
      </c>
      <c r="C146" s="6" t="s">
        <v>303</v>
      </c>
      <c r="D146" s="6" t="s">
        <v>317</v>
      </c>
      <c r="E146" s="6" t="s">
        <v>116</v>
      </c>
      <c r="F146" s="6"/>
      <c r="G146" s="6"/>
      <c r="H146" s="6" t="s">
        <v>316</v>
      </c>
      <c r="I146" s="6"/>
    </row>
    <row r="147" customFormat="false" ht="15" hidden="false" customHeight="false" outlineLevel="0" collapsed="false">
      <c r="A147" s="6" t="s">
        <v>314</v>
      </c>
      <c r="B147" s="6" t="s">
        <v>314</v>
      </c>
      <c r="C147" s="6" t="s">
        <v>303</v>
      </c>
      <c r="D147" s="6" t="s">
        <v>318</v>
      </c>
      <c r="E147" s="6" t="s">
        <v>116</v>
      </c>
      <c r="F147" s="6"/>
      <c r="G147" s="6"/>
      <c r="H147" s="6" t="s">
        <v>316</v>
      </c>
      <c r="I147" s="6"/>
    </row>
    <row r="148" customFormat="false" ht="15" hidden="false" customHeight="false" outlineLevel="0" collapsed="false">
      <c r="A148" s="6" t="s">
        <v>314</v>
      </c>
      <c r="B148" s="6" t="s">
        <v>314</v>
      </c>
      <c r="C148" s="6" t="s">
        <v>303</v>
      </c>
      <c r="D148" s="6" t="s">
        <v>319</v>
      </c>
      <c r="E148" s="6" t="s">
        <v>116</v>
      </c>
      <c r="F148" s="6"/>
      <c r="G148" s="6"/>
      <c r="H148" s="6" t="s">
        <v>316</v>
      </c>
      <c r="I148" s="6"/>
    </row>
    <row r="149" customFormat="false" ht="22.35" hidden="false" customHeight="false" outlineLevel="0" collapsed="false">
      <c r="A149" s="6" t="s">
        <v>314</v>
      </c>
      <c r="B149" s="6" t="s">
        <v>314</v>
      </c>
      <c r="C149" s="6" t="s">
        <v>303</v>
      </c>
      <c r="D149" s="6" t="s">
        <v>284</v>
      </c>
      <c r="E149" s="6" t="s">
        <v>150</v>
      </c>
      <c r="F149" s="6"/>
      <c r="G149" s="6"/>
      <c r="H149" s="6" t="s">
        <v>316</v>
      </c>
      <c r="I149" s="6"/>
    </row>
    <row r="150" customFormat="false" ht="15" hidden="false" customHeight="false" outlineLevel="0" collapsed="false">
      <c r="A150" s="6" t="s">
        <v>314</v>
      </c>
      <c r="B150" s="6" t="s">
        <v>314</v>
      </c>
      <c r="C150" s="6" t="s">
        <v>303</v>
      </c>
      <c r="D150" s="6" t="s">
        <v>320</v>
      </c>
      <c r="E150" s="6" t="s">
        <v>119</v>
      </c>
      <c r="F150" s="6"/>
      <c r="G150" s="6" t="s">
        <v>321</v>
      </c>
      <c r="H150" s="6" t="s">
        <v>316</v>
      </c>
      <c r="I150" s="6"/>
    </row>
    <row r="151" customFormat="false" ht="15" hidden="false" customHeight="false" outlineLevel="0" collapsed="false">
      <c r="A151" s="6" t="s">
        <v>322</v>
      </c>
      <c r="B151" s="6" t="s">
        <v>322</v>
      </c>
      <c r="C151" s="6" t="s">
        <v>303</v>
      </c>
      <c r="D151" s="6" t="s">
        <v>323</v>
      </c>
      <c r="E151" s="6" t="s">
        <v>98</v>
      </c>
      <c r="F151" s="6" t="s">
        <v>99</v>
      </c>
      <c r="G151" s="6"/>
      <c r="H151" s="6" t="s">
        <v>324</v>
      </c>
      <c r="I151" s="6"/>
    </row>
    <row r="152" customFormat="false" ht="15" hidden="false" customHeight="false" outlineLevel="0" collapsed="false">
      <c r="A152" s="6" t="s">
        <v>322</v>
      </c>
      <c r="B152" s="6" t="s">
        <v>322</v>
      </c>
      <c r="C152" s="6" t="s">
        <v>303</v>
      </c>
      <c r="D152" s="6" t="s">
        <v>325</v>
      </c>
      <c r="E152" s="6" t="s">
        <v>98</v>
      </c>
      <c r="F152" s="6"/>
      <c r="G152" s="6" t="s">
        <v>326</v>
      </c>
      <c r="H152" s="6" t="s">
        <v>324</v>
      </c>
      <c r="I152" s="6"/>
    </row>
    <row r="153" customFormat="false" ht="15" hidden="false" customHeight="false" outlineLevel="0" collapsed="false">
      <c r="A153" s="6" t="s">
        <v>322</v>
      </c>
      <c r="B153" s="6" t="s">
        <v>322</v>
      </c>
      <c r="C153" s="6" t="s">
        <v>303</v>
      </c>
      <c r="D153" s="6" t="s">
        <v>327</v>
      </c>
      <c r="E153" s="6" t="s">
        <v>98</v>
      </c>
      <c r="F153" s="6"/>
      <c r="G153" s="6" t="s">
        <v>328</v>
      </c>
      <c r="H153" s="6" t="s">
        <v>324</v>
      </c>
      <c r="I153" s="6"/>
    </row>
    <row r="154" customFormat="false" ht="15" hidden="false" customHeight="false" outlineLevel="0" collapsed="false">
      <c r="A154" s="6" t="s">
        <v>322</v>
      </c>
      <c r="B154" s="6" t="s">
        <v>322</v>
      </c>
      <c r="C154" s="6" t="s">
        <v>303</v>
      </c>
      <c r="D154" s="6" t="s">
        <v>123</v>
      </c>
      <c r="E154" s="6" t="s">
        <v>98</v>
      </c>
      <c r="F154" s="6" t="s">
        <v>172</v>
      </c>
      <c r="G154" s="6"/>
      <c r="H154" s="6" t="s">
        <v>324</v>
      </c>
      <c r="I154" s="6"/>
    </row>
    <row r="155" customFormat="false" ht="15" hidden="false" customHeight="false" outlineLevel="0" collapsed="false">
      <c r="A155" s="6" t="s">
        <v>322</v>
      </c>
      <c r="B155" s="6" t="s">
        <v>322</v>
      </c>
      <c r="C155" s="6" t="s">
        <v>303</v>
      </c>
      <c r="D155" s="6" t="s">
        <v>329</v>
      </c>
      <c r="E155" s="6" t="s">
        <v>98</v>
      </c>
      <c r="F155" s="6" t="s">
        <v>172</v>
      </c>
      <c r="G155" s="6" t="s">
        <v>330</v>
      </c>
      <c r="H155" s="6" t="s">
        <v>324</v>
      </c>
      <c r="I155" s="6"/>
    </row>
    <row r="156" customFormat="false" ht="15" hidden="false" customHeight="false" outlineLevel="0" collapsed="false">
      <c r="A156" s="6" t="s">
        <v>322</v>
      </c>
      <c r="B156" s="6" t="s">
        <v>322</v>
      </c>
      <c r="C156" s="6" t="s">
        <v>303</v>
      </c>
      <c r="D156" s="6" t="s">
        <v>331</v>
      </c>
      <c r="E156" s="6" t="s">
        <v>98</v>
      </c>
      <c r="F156" s="6"/>
      <c r="G156" s="6" t="s">
        <v>332</v>
      </c>
      <c r="H156" s="6" t="s">
        <v>324</v>
      </c>
      <c r="I156" s="6"/>
    </row>
    <row r="157" customFormat="false" ht="15" hidden="false" customHeight="false" outlineLevel="0" collapsed="false">
      <c r="A157" s="6" t="s">
        <v>322</v>
      </c>
      <c r="B157" s="6" t="s">
        <v>322</v>
      </c>
      <c r="C157" s="6" t="s">
        <v>303</v>
      </c>
      <c r="D157" s="6" t="s">
        <v>333</v>
      </c>
      <c r="E157" s="6" t="s">
        <v>119</v>
      </c>
      <c r="F157" s="6"/>
      <c r="G157" s="6"/>
      <c r="H157" s="6" t="s">
        <v>324</v>
      </c>
      <c r="I157" s="6"/>
    </row>
    <row r="158" customFormat="false" ht="15" hidden="false" customHeight="false" outlineLevel="0" collapsed="false">
      <c r="A158" s="6" t="s">
        <v>322</v>
      </c>
      <c r="B158" s="6" t="s">
        <v>322</v>
      </c>
      <c r="C158" s="6" t="s">
        <v>303</v>
      </c>
      <c r="D158" s="6" t="s">
        <v>334</v>
      </c>
      <c r="E158" s="6" t="s">
        <v>119</v>
      </c>
      <c r="F158" s="6"/>
      <c r="G158" s="6"/>
      <c r="H158" s="6" t="s">
        <v>324</v>
      </c>
      <c r="I158" s="6"/>
    </row>
    <row r="159" customFormat="false" ht="15" hidden="false" customHeight="false" outlineLevel="0" collapsed="false">
      <c r="A159" s="6" t="s">
        <v>322</v>
      </c>
      <c r="B159" s="6" t="s">
        <v>322</v>
      </c>
      <c r="C159" s="6" t="s">
        <v>303</v>
      </c>
      <c r="D159" s="6" t="s">
        <v>335</v>
      </c>
      <c r="E159" s="6" t="s">
        <v>119</v>
      </c>
      <c r="F159" s="6"/>
      <c r="G159" s="6"/>
      <c r="H159" s="6" t="s">
        <v>324</v>
      </c>
      <c r="I159" s="6"/>
    </row>
    <row r="160" customFormat="false" ht="15" hidden="false" customHeight="false" outlineLevel="0" collapsed="false">
      <c r="A160" s="6" t="s">
        <v>322</v>
      </c>
      <c r="B160" s="6" t="s">
        <v>322</v>
      </c>
      <c r="C160" s="6" t="s">
        <v>303</v>
      </c>
      <c r="D160" s="6" t="s">
        <v>336</v>
      </c>
      <c r="E160" s="6" t="s">
        <v>113</v>
      </c>
      <c r="F160" s="6"/>
      <c r="G160" s="6"/>
      <c r="H160" s="6" t="s">
        <v>324</v>
      </c>
      <c r="I160" s="6"/>
    </row>
    <row r="161" customFormat="false" ht="15" hidden="false" customHeight="false" outlineLevel="0" collapsed="false">
      <c r="A161" s="6" t="s">
        <v>322</v>
      </c>
      <c r="B161" s="6" t="s">
        <v>322</v>
      </c>
      <c r="C161" s="6" t="s">
        <v>303</v>
      </c>
      <c r="D161" s="6" t="s">
        <v>337</v>
      </c>
      <c r="E161" s="6" t="s">
        <v>98</v>
      </c>
      <c r="F161" s="6"/>
      <c r="G161" s="6" t="s">
        <v>338</v>
      </c>
      <c r="H161" s="6" t="s">
        <v>324</v>
      </c>
      <c r="I161" s="6"/>
    </row>
    <row r="162" customFormat="false" ht="15" hidden="false" customHeight="false" outlineLevel="0" collapsed="false">
      <c r="A162" s="6" t="s">
        <v>322</v>
      </c>
      <c r="B162" s="6" t="s">
        <v>322</v>
      </c>
      <c r="C162" s="6" t="s">
        <v>303</v>
      </c>
      <c r="D162" s="6" t="s">
        <v>120</v>
      </c>
      <c r="E162" s="6" t="s">
        <v>98</v>
      </c>
      <c r="F162" s="6"/>
      <c r="G162" s="6" t="s">
        <v>339</v>
      </c>
      <c r="H162" s="6" t="s">
        <v>324</v>
      </c>
      <c r="I162" s="6"/>
    </row>
    <row r="163" customFormat="false" ht="15" hidden="false" customHeight="false" outlineLevel="0" collapsed="false">
      <c r="A163" s="6" t="s">
        <v>340</v>
      </c>
      <c r="B163" s="6" t="s">
        <v>340</v>
      </c>
      <c r="C163" s="6" t="s">
        <v>303</v>
      </c>
      <c r="D163" s="6" t="s">
        <v>323</v>
      </c>
      <c r="E163" s="6" t="s">
        <v>98</v>
      </c>
      <c r="F163" s="6" t="s">
        <v>139</v>
      </c>
      <c r="G163" s="6"/>
      <c r="H163" s="6" t="s">
        <v>341</v>
      </c>
      <c r="I163" s="6"/>
    </row>
    <row r="164" customFormat="false" ht="15" hidden="false" customHeight="false" outlineLevel="0" collapsed="false">
      <c r="A164" s="6" t="s">
        <v>340</v>
      </c>
      <c r="B164" s="6" t="s">
        <v>340</v>
      </c>
      <c r="C164" s="6" t="s">
        <v>303</v>
      </c>
      <c r="D164" s="6" t="s">
        <v>342</v>
      </c>
      <c r="E164" s="6" t="s">
        <v>116</v>
      </c>
      <c r="F164" s="6" t="s">
        <v>99</v>
      </c>
      <c r="G164" s="6"/>
      <c r="H164" s="6" t="s">
        <v>341</v>
      </c>
      <c r="I164" s="6"/>
    </row>
    <row r="165" customFormat="false" ht="15" hidden="false" customHeight="false" outlineLevel="0" collapsed="false">
      <c r="A165" s="6" t="s">
        <v>340</v>
      </c>
      <c r="B165" s="6" t="s">
        <v>340</v>
      </c>
      <c r="C165" s="6" t="s">
        <v>303</v>
      </c>
      <c r="D165" s="6" t="s">
        <v>228</v>
      </c>
      <c r="E165" s="6" t="s">
        <v>98</v>
      </c>
      <c r="F165" s="6" t="s">
        <v>172</v>
      </c>
      <c r="G165" s="6"/>
      <c r="H165" s="6" t="s">
        <v>341</v>
      </c>
      <c r="I165" s="6"/>
    </row>
    <row r="166" customFormat="false" ht="15" hidden="false" customHeight="false" outlineLevel="0" collapsed="false">
      <c r="A166" s="6" t="s">
        <v>340</v>
      </c>
      <c r="B166" s="6" t="s">
        <v>340</v>
      </c>
      <c r="C166" s="6" t="s">
        <v>303</v>
      </c>
      <c r="D166" s="6" t="s">
        <v>343</v>
      </c>
      <c r="E166" s="6" t="s">
        <v>116</v>
      </c>
      <c r="F166" s="6"/>
      <c r="G166" s="6"/>
      <c r="H166" s="6" t="s">
        <v>341</v>
      </c>
      <c r="I166" s="6"/>
    </row>
    <row r="167" customFormat="false" ht="22.35" hidden="false" customHeight="false" outlineLevel="0" collapsed="false">
      <c r="A167" s="6" t="s">
        <v>340</v>
      </c>
      <c r="B167" s="6" t="s">
        <v>340</v>
      </c>
      <c r="C167" s="6" t="s">
        <v>303</v>
      </c>
      <c r="D167" s="6" t="s">
        <v>284</v>
      </c>
      <c r="E167" s="6" t="s">
        <v>150</v>
      </c>
      <c r="F167" s="6"/>
      <c r="G167" s="6"/>
      <c r="H167" s="6" t="s">
        <v>341</v>
      </c>
      <c r="I167" s="6"/>
    </row>
    <row r="168" customFormat="false" ht="15" hidden="false" customHeight="false" outlineLevel="0" collapsed="false">
      <c r="A168" s="6" t="s">
        <v>340</v>
      </c>
      <c r="B168" s="6" t="s">
        <v>340</v>
      </c>
      <c r="C168" s="6" t="s">
        <v>303</v>
      </c>
      <c r="D168" s="6" t="s">
        <v>344</v>
      </c>
      <c r="E168" s="6" t="s">
        <v>116</v>
      </c>
      <c r="F168" s="6"/>
      <c r="G168" s="6"/>
      <c r="H168" s="6" t="s">
        <v>341</v>
      </c>
      <c r="I168" s="6"/>
    </row>
    <row r="169" customFormat="false" ht="15" hidden="false" customHeight="false" outlineLevel="0" collapsed="false">
      <c r="A169" s="6" t="s">
        <v>340</v>
      </c>
      <c r="B169" s="6" t="s">
        <v>340</v>
      </c>
      <c r="C169" s="6" t="s">
        <v>303</v>
      </c>
      <c r="D169" s="6" t="s">
        <v>345</v>
      </c>
      <c r="E169" s="6" t="s">
        <v>116</v>
      </c>
      <c r="F169" s="6"/>
      <c r="G169" s="6"/>
      <c r="H169" s="6" t="s">
        <v>341</v>
      </c>
      <c r="I169" s="6"/>
    </row>
    <row r="170" customFormat="false" ht="15" hidden="false" customHeight="false" outlineLevel="0" collapsed="false">
      <c r="A170" s="6" t="s">
        <v>340</v>
      </c>
      <c r="B170" s="6" t="s">
        <v>340</v>
      </c>
      <c r="C170" s="6" t="s">
        <v>303</v>
      </c>
      <c r="D170" s="6" t="s">
        <v>346</v>
      </c>
      <c r="E170" s="6" t="s">
        <v>116</v>
      </c>
      <c r="F170" s="6"/>
      <c r="G170" s="6" t="s">
        <v>347</v>
      </c>
      <c r="H170" s="6" t="s">
        <v>341</v>
      </c>
      <c r="I170" s="6"/>
    </row>
    <row r="171" customFormat="false" ht="22.35" hidden="false" customHeight="false" outlineLevel="0" collapsed="false">
      <c r="A171" s="6" t="s">
        <v>348</v>
      </c>
      <c r="B171" s="6" t="s">
        <v>348</v>
      </c>
      <c r="C171" s="6" t="s">
        <v>303</v>
      </c>
      <c r="D171" s="6" t="s">
        <v>349</v>
      </c>
      <c r="E171" s="6" t="s">
        <v>98</v>
      </c>
      <c r="F171" s="6" t="s">
        <v>99</v>
      </c>
      <c r="G171" s="6"/>
      <c r="H171" s="6" t="s">
        <v>350</v>
      </c>
      <c r="I171" s="6"/>
    </row>
    <row r="172" customFormat="false" ht="22.35" hidden="false" customHeight="false" outlineLevel="0" collapsed="false">
      <c r="A172" s="6" t="s">
        <v>348</v>
      </c>
      <c r="B172" s="6" t="s">
        <v>348</v>
      </c>
      <c r="C172" s="6" t="s">
        <v>303</v>
      </c>
      <c r="D172" s="6" t="s">
        <v>323</v>
      </c>
      <c r="E172" s="6" t="s">
        <v>98</v>
      </c>
      <c r="F172" s="6" t="s">
        <v>172</v>
      </c>
      <c r="G172" s="6"/>
      <c r="H172" s="6" t="s">
        <v>350</v>
      </c>
      <c r="I172" s="6"/>
    </row>
    <row r="173" customFormat="false" ht="22.35" hidden="false" customHeight="false" outlineLevel="0" collapsed="false">
      <c r="A173" s="6" t="s">
        <v>348</v>
      </c>
      <c r="B173" s="6" t="s">
        <v>348</v>
      </c>
      <c r="C173" s="6" t="s">
        <v>303</v>
      </c>
      <c r="D173" s="6" t="s">
        <v>97</v>
      </c>
      <c r="E173" s="6" t="s">
        <v>98</v>
      </c>
      <c r="F173" s="6" t="s">
        <v>172</v>
      </c>
      <c r="G173" s="6"/>
      <c r="H173" s="6" t="s">
        <v>350</v>
      </c>
      <c r="I173" s="6"/>
    </row>
    <row r="174" customFormat="false" ht="22.35" hidden="false" customHeight="false" outlineLevel="0" collapsed="false">
      <c r="A174" s="6" t="s">
        <v>348</v>
      </c>
      <c r="B174" s="6" t="s">
        <v>348</v>
      </c>
      <c r="C174" s="6" t="s">
        <v>303</v>
      </c>
      <c r="D174" s="6" t="s">
        <v>351</v>
      </c>
      <c r="E174" s="6" t="s">
        <v>119</v>
      </c>
      <c r="F174" s="6"/>
      <c r="G174" s="6"/>
      <c r="H174" s="6" t="s">
        <v>350</v>
      </c>
      <c r="I174" s="6"/>
    </row>
    <row r="175" customFormat="false" ht="22.35" hidden="false" customHeight="false" outlineLevel="0" collapsed="false">
      <c r="A175" s="6" t="s">
        <v>348</v>
      </c>
      <c r="B175" s="6" t="s">
        <v>348</v>
      </c>
      <c r="C175" s="6" t="s">
        <v>303</v>
      </c>
      <c r="D175" s="6" t="s">
        <v>352</v>
      </c>
      <c r="E175" s="6" t="s">
        <v>113</v>
      </c>
      <c r="F175" s="6"/>
      <c r="G175" s="6"/>
      <c r="H175" s="6" t="s">
        <v>350</v>
      </c>
      <c r="I175" s="6"/>
    </row>
    <row r="176" customFormat="false" ht="22.35" hidden="false" customHeight="false" outlineLevel="0" collapsed="false">
      <c r="A176" s="6" t="s">
        <v>348</v>
      </c>
      <c r="B176" s="6" t="s">
        <v>348</v>
      </c>
      <c r="C176" s="6" t="s">
        <v>303</v>
      </c>
      <c r="D176" s="6" t="s">
        <v>353</v>
      </c>
      <c r="E176" s="6" t="s">
        <v>116</v>
      </c>
      <c r="F176" s="6"/>
      <c r="G176" s="6"/>
      <c r="H176" s="6" t="s">
        <v>350</v>
      </c>
      <c r="I176" s="6"/>
    </row>
    <row r="177" customFormat="false" ht="22.35" hidden="false" customHeight="false" outlineLevel="0" collapsed="false">
      <c r="A177" s="6" t="s">
        <v>348</v>
      </c>
      <c r="B177" s="6" t="s">
        <v>348</v>
      </c>
      <c r="C177" s="6" t="s">
        <v>303</v>
      </c>
      <c r="D177" s="6" t="s">
        <v>354</v>
      </c>
      <c r="E177" s="6" t="s">
        <v>98</v>
      </c>
      <c r="F177" s="6"/>
      <c r="G177" s="6"/>
      <c r="H177" s="6" t="s">
        <v>350</v>
      </c>
      <c r="I177" s="6"/>
    </row>
    <row r="178" customFormat="false" ht="22.35" hidden="false" customHeight="false" outlineLevel="0" collapsed="false">
      <c r="A178" s="6" t="s">
        <v>348</v>
      </c>
      <c r="B178" s="6" t="s">
        <v>348</v>
      </c>
      <c r="C178" s="6" t="s">
        <v>303</v>
      </c>
      <c r="D178" s="6" t="s">
        <v>120</v>
      </c>
      <c r="E178" s="6" t="s">
        <v>98</v>
      </c>
      <c r="F178" s="6"/>
      <c r="G178" s="6" t="s">
        <v>355</v>
      </c>
      <c r="H178" s="6" t="s">
        <v>350</v>
      </c>
      <c r="I178" s="6"/>
    </row>
    <row r="179" customFormat="false" ht="15" hidden="false" customHeight="false" outlineLevel="0" collapsed="false">
      <c r="A179" s="6" t="s">
        <v>356</v>
      </c>
      <c r="B179" s="6" t="s">
        <v>356</v>
      </c>
      <c r="C179" s="6" t="s">
        <v>303</v>
      </c>
      <c r="D179" s="6" t="s">
        <v>349</v>
      </c>
      <c r="E179" s="6" t="s">
        <v>98</v>
      </c>
      <c r="F179" s="6" t="s">
        <v>139</v>
      </c>
      <c r="G179" s="6"/>
      <c r="H179" s="6" t="s">
        <v>357</v>
      </c>
      <c r="I179" s="6"/>
    </row>
    <row r="180" customFormat="false" ht="15" hidden="false" customHeight="false" outlineLevel="0" collapsed="false">
      <c r="A180" s="6" t="s">
        <v>356</v>
      </c>
      <c r="B180" s="6" t="s">
        <v>356</v>
      </c>
      <c r="C180" s="6" t="s">
        <v>303</v>
      </c>
      <c r="D180" s="6" t="s">
        <v>342</v>
      </c>
      <c r="E180" s="6" t="s">
        <v>116</v>
      </c>
      <c r="F180" s="6" t="s">
        <v>99</v>
      </c>
      <c r="G180" s="6"/>
      <c r="H180" s="6" t="s">
        <v>357</v>
      </c>
      <c r="I180" s="6"/>
    </row>
    <row r="181" customFormat="false" ht="15" hidden="false" customHeight="false" outlineLevel="0" collapsed="false">
      <c r="A181" s="6" t="s">
        <v>356</v>
      </c>
      <c r="B181" s="6" t="s">
        <v>356</v>
      </c>
      <c r="C181" s="6" t="s">
        <v>303</v>
      </c>
      <c r="D181" s="6" t="s">
        <v>228</v>
      </c>
      <c r="E181" s="6" t="s">
        <v>98</v>
      </c>
      <c r="F181" s="6" t="s">
        <v>172</v>
      </c>
      <c r="G181" s="6"/>
      <c r="H181" s="6" t="s">
        <v>357</v>
      </c>
      <c r="I181" s="6"/>
    </row>
    <row r="182" customFormat="false" ht="15" hidden="false" customHeight="false" outlineLevel="0" collapsed="false">
      <c r="A182" s="6" t="s">
        <v>356</v>
      </c>
      <c r="B182" s="6" t="s">
        <v>356</v>
      </c>
      <c r="C182" s="6" t="s">
        <v>303</v>
      </c>
      <c r="D182" s="6" t="s">
        <v>358</v>
      </c>
      <c r="E182" s="6" t="s">
        <v>116</v>
      </c>
      <c r="F182" s="6"/>
      <c r="G182" s="6"/>
      <c r="H182" s="6" t="s">
        <v>357</v>
      </c>
      <c r="I182" s="6"/>
    </row>
    <row r="183" customFormat="false" ht="15" hidden="false" customHeight="false" outlineLevel="0" collapsed="false">
      <c r="A183" s="6" t="s">
        <v>356</v>
      </c>
      <c r="B183" s="6" t="s">
        <v>356</v>
      </c>
      <c r="C183" s="6" t="s">
        <v>303</v>
      </c>
      <c r="D183" s="6" t="s">
        <v>344</v>
      </c>
      <c r="E183" s="6" t="s">
        <v>116</v>
      </c>
      <c r="F183" s="6"/>
      <c r="G183" s="6"/>
      <c r="H183" s="6" t="s">
        <v>357</v>
      </c>
      <c r="I183" s="6"/>
    </row>
    <row r="184" customFormat="false" ht="15" hidden="false" customHeight="false" outlineLevel="0" collapsed="false">
      <c r="A184" s="6" t="s">
        <v>356</v>
      </c>
      <c r="B184" s="6" t="s">
        <v>356</v>
      </c>
      <c r="C184" s="6" t="s">
        <v>303</v>
      </c>
      <c r="D184" s="6" t="s">
        <v>359</v>
      </c>
      <c r="E184" s="6" t="s">
        <v>116</v>
      </c>
      <c r="F184" s="6"/>
      <c r="G184" s="6"/>
      <c r="H184" s="6" t="s">
        <v>357</v>
      </c>
      <c r="I184" s="6"/>
    </row>
    <row r="185" customFormat="false" ht="15" hidden="false" customHeight="false" outlineLevel="0" collapsed="false">
      <c r="A185" s="6" t="s">
        <v>356</v>
      </c>
      <c r="B185" s="6" t="s">
        <v>356</v>
      </c>
      <c r="C185" s="6" t="s">
        <v>303</v>
      </c>
      <c r="D185" s="6" t="s">
        <v>360</v>
      </c>
      <c r="E185" s="6" t="s">
        <v>116</v>
      </c>
      <c r="F185" s="6"/>
      <c r="G185" s="6" t="s">
        <v>361</v>
      </c>
      <c r="H185" s="6" t="s">
        <v>357</v>
      </c>
      <c r="I185" s="6"/>
    </row>
    <row r="186" customFormat="false" ht="15" hidden="false" customHeight="false" outlineLevel="0" collapsed="false">
      <c r="A186" s="6" t="s">
        <v>356</v>
      </c>
      <c r="B186" s="6" t="s">
        <v>356</v>
      </c>
      <c r="C186" s="6" t="s">
        <v>303</v>
      </c>
      <c r="D186" s="6" t="s">
        <v>362</v>
      </c>
      <c r="E186" s="6" t="s">
        <v>98</v>
      </c>
      <c r="F186" s="6"/>
      <c r="G186" s="6"/>
      <c r="H186" s="6" t="s">
        <v>357</v>
      </c>
      <c r="I186" s="6"/>
    </row>
    <row r="187" customFormat="false" ht="15" hidden="false" customHeight="false" outlineLevel="0" collapsed="false">
      <c r="A187" s="6" t="s">
        <v>363</v>
      </c>
      <c r="B187" s="6" t="s">
        <v>363</v>
      </c>
      <c r="C187" s="6" t="s">
        <v>303</v>
      </c>
      <c r="D187" s="6" t="s">
        <v>364</v>
      </c>
      <c r="E187" s="6" t="s">
        <v>98</v>
      </c>
      <c r="F187" s="6" t="s">
        <v>99</v>
      </c>
      <c r="G187" s="6"/>
      <c r="H187" s="6" t="s">
        <v>365</v>
      </c>
      <c r="I187" s="6"/>
    </row>
    <row r="188" customFormat="false" ht="15" hidden="false" customHeight="false" outlineLevel="0" collapsed="false">
      <c r="A188" s="6" t="s">
        <v>363</v>
      </c>
      <c r="B188" s="6" t="s">
        <v>363</v>
      </c>
      <c r="C188" s="6" t="s">
        <v>303</v>
      </c>
      <c r="D188" s="6" t="s">
        <v>123</v>
      </c>
      <c r="E188" s="6" t="s">
        <v>98</v>
      </c>
      <c r="F188" s="6" t="s">
        <v>172</v>
      </c>
      <c r="G188" s="6"/>
      <c r="H188" s="6" t="s">
        <v>365</v>
      </c>
      <c r="I188" s="6"/>
    </row>
    <row r="189" customFormat="false" ht="15" hidden="false" customHeight="false" outlineLevel="0" collapsed="false">
      <c r="A189" s="6" t="s">
        <v>363</v>
      </c>
      <c r="B189" s="6" t="s">
        <v>363</v>
      </c>
      <c r="C189" s="6" t="s">
        <v>303</v>
      </c>
      <c r="D189" s="6" t="s">
        <v>366</v>
      </c>
      <c r="E189" s="6" t="s">
        <v>98</v>
      </c>
      <c r="F189" s="6"/>
      <c r="G189" s="6" t="s">
        <v>367</v>
      </c>
      <c r="H189" s="6" t="s">
        <v>365</v>
      </c>
      <c r="I189" s="6"/>
    </row>
    <row r="190" customFormat="false" ht="15" hidden="false" customHeight="false" outlineLevel="0" collapsed="false">
      <c r="A190" s="6" t="s">
        <v>363</v>
      </c>
      <c r="B190" s="6" t="s">
        <v>363</v>
      </c>
      <c r="C190" s="6" t="s">
        <v>303</v>
      </c>
      <c r="D190" s="6" t="s">
        <v>323</v>
      </c>
      <c r="E190" s="6" t="s">
        <v>98</v>
      </c>
      <c r="F190" s="6" t="s">
        <v>172</v>
      </c>
      <c r="G190" s="6"/>
      <c r="H190" s="6" t="s">
        <v>365</v>
      </c>
      <c r="I190" s="6"/>
    </row>
    <row r="191" customFormat="false" ht="15" hidden="false" customHeight="false" outlineLevel="0" collapsed="false">
      <c r="A191" s="6" t="s">
        <v>363</v>
      </c>
      <c r="B191" s="6" t="s">
        <v>363</v>
      </c>
      <c r="C191" s="6" t="s">
        <v>303</v>
      </c>
      <c r="D191" s="6" t="s">
        <v>368</v>
      </c>
      <c r="E191" s="6" t="s">
        <v>119</v>
      </c>
      <c r="F191" s="6"/>
      <c r="G191" s="6"/>
      <c r="H191" s="6" t="s">
        <v>365</v>
      </c>
      <c r="I191" s="6"/>
    </row>
    <row r="192" customFormat="false" ht="15" hidden="false" customHeight="false" outlineLevel="0" collapsed="false">
      <c r="A192" s="6" t="s">
        <v>363</v>
      </c>
      <c r="B192" s="6" t="s">
        <v>363</v>
      </c>
      <c r="C192" s="6" t="s">
        <v>303</v>
      </c>
      <c r="D192" s="6" t="s">
        <v>369</v>
      </c>
      <c r="E192" s="6" t="s">
        <v>119</v>
      </c>
      <c r="F192" s="6"/>
      <c r="G192" s="6"/>
      <c r="H192" s="6" t="s">
        <v>365</v>
      </c>
      <c r="I192" s="6"/>
    </row>
    <row r="193" customFormat="false" ht="22.35" hidden="false" customHeight="false" outlineLevel="0" collapsed="false">
      <c r="A193" s="6" t="s">
        <v>363</v>
      </c>
      <c r="B193" s="6" t="s">
        <v>363</v>
      </c>
      <c r="C193" s="6" t="s">
        <v>303</v>
      </c>
      <c r="D193" s="6" t="s">
        <v>370</v>
      </c>
      <c r="E193" s="6" t="s">
        <v>150</v>
      </c>
      <c r="F193" s="6"/>
      <c r="G193" s="6"/>
      <c r="H193" s="6" t="s">
        <v>365</v>
      </c>
      <c r="I193" s="6"/>
    </row>
    <row r="194" customFormat="false" ht="22.35" hidden="false" customHeight="false" outlineLevel="0" collapsed="false">
      <c r="A194" s="6" t="s">
        <v>363</v>
      </c>
      <c r="B194" s="6" t="s">
        <v>363</v>
      </c>
      <c r="C194" s="6" t="s">
        <v>303</v>
      </c>
      <c r="D194" s="6" t="s">
        <v>371</v>
      </c>
      <c r="E194" s="6" t="s">
        <v>150</v>
      </c>
      <c r="F194" s="6"/>
      <c r="G194" s="6"/>
      <c r="H194" s="6" t="s">
        <v>365</v>
      </c>
      <c r="I194" s="6"/>
    </row>
    <row r="195" customFormat="false" ht="22.35" hidden="false" customHeight="false" outlineLevel="0" collapsed="false">
      <c r="A195" s="6" t="s">
        <v>363</v>
      </c>
      <c r="B195" s="6" t="s">
        <v>363</v>
      </c>
      <c r="C195" s="6" t="s">
        <v>303</v>
      </c>
      <c r="D195" s="6" t="s">
        <v>372</v>
      </c>
      <c r="E195" s="6" t="s">
        <v>150</v>
      </c>
      <c r="F195" s="6"/>
      <c r="G195" s="6"/>
      <c r="H195" s="6" t="s">
        <v>365</v>
      </c>
      <c r="I195" s="6"/>
    </row>
    <row r="196" customFormat="false" ht="22.35" hidden="false" customHeight="false" outlineLevel="0" collapsed="false">
      <c r="A196" s="6" t="s">
        <v>363</v>
      </c>
      <c r="B196" s="6" t="s">
        <v>363</v>
      </c>
      <c r="C196" s="6" t="s">
        <v>303</v>
      </c>
      <c r="D196" s="6" t="s">
        <v>373</v>
      </c>
      <c r="E196" s="6" t="s">
        <v>150</v>
      </c>
      <c r="F196" s="6"/>
      <c r="G196" s="6" t="s">
        <v>374</v>
      </c>
      <c r="H196" s="6" t="s">
        <v>365</v>
      </c>
      <c r="I196" s="6"/>
    </row>
    <row r="197" customFormat="false" ht="15" hidden="false" customHeight="false" outlineLevel="0" collapsed="false">
      <c r="A197" s="6" t="s">
        <v>363</v>
      </c>
      <c r="B197" s="6" t="s">
        <v>363</v>
      </c>
      <c r="C197" s="6" t="s">
        <v>303</v>
      </c>
      <c r="D197" s="6" t="s">
        <v>120</v>
      </c>
      <c r="E197" s="6" t="s">
        <v>98</v>
      </c>
      <c r="F197" s="6"/>
      <c r="G197" s="6" t="s">
        <v>375</v>
      </c>
      <c r="H197" s="6" t="s">
        <v>365</v>
      </c>
      <c r="I197" s="6"/>
    </row>
    <row r="198" customFormat="false" ht="15" hidden="false" customHeight="false" outlineLevel="0" collapsed="false">
      <c r="A198" s="6" t="s">
        <v>376</v>
      </c>
      <c r="B198" s="6" t="s">
        <v>376</v>
      </c>
      <c r="C198" s="6" t="s">
        <v>303</v>
      </c>
      <c r="D198" s="6" t="s">
        <v>364</v>
      </c>
      <c r="E198" s="6" t="s">
        <v>98</v>
      </c>
      <c r="F198" s="6" t="s">
        <v>139</v>
      </c>
      <c r="G198" s="6"/>
      <c r="H198" s="6" t="s">
        <v>365</v>
      </c>
      <c r="I198" s="6"/>
    </row>
    <row r="199" customFormat="false" ht="15" hidden="false" customHeight="false" outlineLevel="0" collapsed="false">
      <c r="A199" s="6" t="s">
        <v>376</v>
      </c>
      <c r="B199" s="6" t="s">
        <v>376</v>
      </c>
      <c r="C199" s="6" t="s">
        <v>303</v>
      </c>
      <c r="D199" s="6" t="s">
        <v>342</v>
      </c>
      <c r="E199" s="6" t="s">
        <v>116</v>
      </c>
      <c r="F199" s="6" t="s">
        <v>99</v>
      </c>
      <c r="G199" s="6"/>
      <c r="H199" s="6" t="s">
        <v>365</v>
      </c>
      <c r="I199" s="6"/>
    </row>
    <row r="200" customFormat="false" ht="15" hidden="false" customHeight="false" outlineLevel="0" collapsed="false">
      <c r="A200" s="6" t="s">
        <v>376</v>
      </c>
      <c r="B200" s="6" t="s">
        <v>376</v>
      </c>
      <c r="C200" s="6" t="s">
        <v>303</v>
      </c>
      <c r="D200" s="6" t="s">
        <v>228</v>
      </c>
      <c r="E200" s="6" t="s">
        <v>98</v>
      </c>
      <c r="F200" s="6" t="s">
        <v>172</v>
      </c>
      <c r="G200" s="6"/>
      <c r="H200" s="6" t="s">
        <v>365</v>
      </c>
      <c r="I200" s="6"/>
    </row>
    <row r="201" customFormat="false" ht="15" hidden="false" customHeight="false" outlineLevel="0" collapsed="false">
      <c r="A201" s="6" t="s">
        <v>376</v>
      </c>
      <c r="B201" s="6" t="s">
        <v>376</v>
      </c>
      <c r="C201" s="6" t="s">
        <v>303</v>
      </c>
      <c r="D201" s="6" t="s">
        <v>377</v>
      </c>
      <c r="E201" s="6" t="s">
        <v>116</v>
      </c>
      <c r="F201" s="6"/>
      <c r="G201" s="6"/>
      <c r="H201" s="6" t="s">
        <v>365</v>
      </c>
      <c r="I201" s="6"/>
    </row>
    <row r="202" customFormat="false" ht="22.35" hidden="false" customHeight="false" outlineLevel="0" collapsed="false">
      <c r="A202" s="6" t="s">
        <v>376</v>
      </c>
      <c r="B202" s="6" t="s">
        <v>376</v>
      </c>
      <c r="C202" s="6" t="s">
        <v>303</v>
      </c>
      <c r="D202" s="6" t="s">
        <v>284</v>
      </c>
      <c r="E202" s="6" t="s">
        <v>150</v>
      </c>
      <c r="F202" s="6"/>
      <c r="G202" s="6"/>
      <c r="H202" s="6" t="s">
        <v>365</v>
      </c>
      <c r="I202" s="6"/>
    </row>
    <row r="203" customFormat="false" ht="22.35" hidden="false" customHeight="false" outlineLevel="0" collapsed="false">
      <c r="A203" s="6" t="s">
        <v>376</v>
      </c>
      <c r="B203" s="6" t="s">
        <v>376</v>
      </c>
      <c r="C203" s="6" t="s">
        <v>303</v>
      </c>
      <c r="D203" s="6" t="s">
        <v>378</v>
      </c>
      <c r="E203" s="6" t="s">
        <v>150</v>
      </c>
      <c r="F203" s="6"/>
      <c r="G203" s="6" t="s">
        <v>379</v>
      </c>
      <c r="H203" s="6" t="s">
        <v>365</v>
      </c>
      <c r="I203" s="6"/>
    </row>
    <row r="204" customFormat="false" ht="15" hidden="false" customHeight="false" outlineLevel="0" collapsed="false">
      <c r="A204" s="6" t="s">
        <v>380</v>
      </c>
      <c r="B204" s="6" t="s">
        <v>380</v>
      </c>
      <c r="C204" s="6" t="s">
        <v>381</v>
      </c>
      <c r="D204" s="6" t="s">
        <v>382</v>
      </c>
      <c r="E204" s="6" t="s">
        <v>98</v>
      </c>
      <c r="F204" s="6" t="s">
        <v>99</v>
      </c>
      <c r="G204" s="6"/>
      <c r="H204" s="6" t="s">
        <v>383</v>
      </c>
      <c r="I204" s="6"/>
    </row>
    <row r="205" customFormat="false" ht="15" hidden="false" customHeight="false" outlineLevel="0" collapsed="false">
      <c r="A205" s="6" t="s">
        <v>380</v>
      </c>
      <c r="B205" s="6" t="s">
        <v>380</v>
      </c>
      <c r="C205" s="6" t="s">
        <v>381</v>
      </c>
      <c r="D205" s="6" t="s">
        <v>323</v>
      </c>
      <c r="E205" s="6" t="s">
        <v>98</v>
      </c>
      <c r="F205" s="6" t="s">
        <v>172</v>
      </c>
      <c r="G205" s="6"/>
      <c r="H205" s="6" t="s">
        <v>383</v>
      </c>
      <c r="I205" s="6"/>
    </row>
    <row r="206" customFormat="false" ht="15" hidden="false" customHeight="false" outlineLevel="0" collapsed="false">
      <c r="A206" s="6" t="s">
        <v>380</v>
      </c>
      <c r="B206" s="6" t="s">
        <v>380</v>
      </c>
      <c r="C206" s="6" t="s">
        <v>381</v>
      </c>
      <c r="D206" s="6" t="s">
        <v>349</v>
      </c>
      <c r="E206" s="6" t="s">
        <v>98</v>
      </c>
      <c r="F206" s="6" t="s">
        <v>172</v>
      </c>
      <c r="G206" s="6"/>
      <c r="H206" s="6" t="s">
        <v>383</v>
      </c>
      <c r="I206" s="6"/>
    </row>
    <row r="207" customFormat="false" ht="15" hidden="false" customHeight="false" outlineLevel="0" collapsed="false">
      <c r="A207" s="6" t="s">
        <v>380</v>
      </c>
      <c r="B207" s="6" t="s">
        <v>380</v>
      </c>
      <c r="C207" s="6" t="s">
        <v>381</v>
      </c>
      <c r="D207" s="6" t="s">
        <v>364</v>
      </c>
      <c r="E207" s="6" t="s">
        <v>98</v>
      </c>
      <c r="F207" s="6" t="s">
        <v>172</v>
      </c>
      <c r="G207" s="6"/>
      <c r="H207" s="6" t="s">
        <v>383</v>
      </c>
      <c r="I207" s="6"/>
    </row>
    <row r="208" customFormat="false" ht="15" hidden="false" customHeight="false" outlineLevel="0" collapsed="false">
      <c r="A208" s="6" t="s">
        <v>380</v>
      </c>
      <c r="B208" s="6" t="s">
        <v>380</v>
      </c>
      <c r="C208" s="6" t="s">
        <v>381</v>
      </c>
      <c r="D208" s="6" t="s">
        <v>228</v>
      </c>
      <c r="E208" s="6" t="s">
        <v>98</v>
      </c>
      <c r="F208" s="6" t="s">
        <v>172</v>
      </c>
      <c r="G208" s="6"/>
      <c r="H208" s="6" t="s">
        <v>383</v>
      </c>
      <c r="I208" s="6"/>
    </row>
    <row r="209" customFormat="false" ht="15" hidden="false" customHeight="false" outlineLevel="0" collapsed="false">
      <c r="A209" s="6" t="s">
        <v>380</v>
      </c>
      <c r="B209" s="6" t="s">
        <v>380</v>
      </c>
      <c r="C209" s="6" t="s">
        <v>381</v>
      </c>
      <c r="D209" s="6" t="s">
        <v>384</v>
      </c>
      <c r="E209" s="6" t="s">
        <v>116</v>
      </c>
      <c r="F209" s="6"/>
      <c r="G209" s="6"/>
      <c r="H209" s="6" t="s">
        <v>383</v>
      </c>
      <c r="I209" s="6"/>
    </row>
    <row r="210" customFormat="false" ht="15" hidden="false" customHeight="false" outlineLevel="0" collapsed="false">
      <c r="A210" s="6" t="s">
        <v>380</v>
      </c>
      <c r="B210" s="6" t="s">
        <v>380</v>
      </c>
      <c r="C210" s="6" t="s">
        <v>381</v>
      </c>
      <c r="D210" s="6" t="s">
        <v>344</v>
      </c>
      <c r="E210" s="6" t="s">
        <v>116</v>
      </c>
      <c r="F210" s="6"/>
      <c r="G210" s="6"/>
      <c r="H210" s="6" t="s">
        <v>383</v>
      </c>
      <c r="I210" s="6"/>
    </row>
    <row r="211" customFormat="false" ht="15" hidden="false" customHeight="false" outlineLevel="0" collapsed="false">
      <c r="A211" s="6" t="s">
        <v>380</v>
      </c>
      <c r="B211" s="6" t="s">
        <v>380</v>
      </c>
      <c r="C211" s="6" t="s">
        <v>381</v>
      </c>
      <c r="D211" s="6" t="s">
        <v>377</v>
      </c>
      <c r="E211" s="6" t="s">
        <v>116</v>
      </c>
      <c r="F211" s="6"/>
      <c r="G211" s="6"/>
      <c r="H211" s="6" t="s">
        <v>383</v>
      </c>
      <c r="I211" s="6"/>
    </row>
    <row r="212" customFormat="false" ht="22.35" hidden="false" customHeight="false" outlineLevel="0" collapsed="false">
      <c r="A212" s="6" t="s">
        <v>380</v>
      </c>
      <c r="B212" s="6" t="s">
        <v>380</v>
      </c>
      <c r="C212" s="6" t="s">
        <v>381</v>
      </c>
      <c r="D212" s="6" t="s">
        <v>385</v>
      </c>
      <c r="E212" s="6" t="s">
        <v>150</v>
      </c>
      <c r="F212" s="6"/>
      <c r="G212" s="6"/>
      <c r="H212" s="6" t="s">
        <v>383</v>
      </c>
      <c r="I212" s="6"/>
    </row>
    <row r="213" customFormat="false" ht="22.35" hidden="false" customHeight="false" outlineLevel="0" collapsed="false">
      <c r="A213" s="6" t="s">
        <v>380</v>
      </c>
      <c r="B213" s="6" t="s">
        <v>380</v>
      </c>
      <c r="C213" s="6" t="s">
        <v>381</v>
      </c>
      <c r="D213" s="6" t="s">
        <v>386</v>
      </c>
      <c r="E213" s="6" t="s">
        <v>150</v>
      </c>
      <c r="F213" s="6"/>
      <c r="G213" s="6"/>
      <c r="H213" s="6" t="s">
        <v>383</v>
      </c>
      <c r="I213" s="6"/>
    </row>
    <row r="214" customFormat="false" ht="22.35" hidden="false" customHeight="false" outlineLevel="0" collapsed="false">
      <c r="A214" s="6" t="s">
        <v>380</v>
      </c>
      <c r="B214" s="6" t="s">
        <v>380</v>
      </c>
      <c r="C214" s="6" t="s">
        <v>381</v>
      </c>
      <c r="D214" s="6" t="s">
        <v>387</v>
      </c>
      <c r="E214" s="6" t="s">
        <v>98</v>
      </c>
      <c r="F214" s="6"/>
      <c r="G214" s="6" t="s">
        <v>388</v>
      </c>
      <c r="H214" s="6" t="s">
        <v>383</v>
      </c>
      <c r="I214" s="6"/>
    </row>
    <row r="215" customFormat="false" ht="22.35" hidden="false" customHeight="false" outlineLevel="0" collapsed="false">
      <c r="A215" s="6" t="s">
        <v>380</v>
      </c>
      <c r="B215" s="6" t="s">
        <v>380</v>
      </c>
      <c r="C215" s="6" t="s">
        <v>381</v>
      </c>
      <c r="D215" s="6" t="s">
        <v>389</v>
      </c>
      <c r="E215" s="6" t="s">
        <v>150</v>
      </c>
      <c r="F215" s="6"/>
      <c r="G215" s="6" t="s">
        <v>390</v>
      </c>
      <c r="H215" s="6" t="s">
        <v>383</v>
      </c>
      <c r="I215" s="6"/>
    </row>
    <row r="216" customFormat="false" ht="15" hidden="false" customHeight="false" outlineLevel="0" collapsed="false">
      <c r="A216" s="6" t="s">
        <v>380</v>
      </c>
      <c r="B216" s="6" t="s">
        <v>380</v>
      </c>
      <c r="C216" s="6" t="s">
        <v>381</v>
      </c>
      <c r="D216" s="6" t="s">
        <v>391</v>
      </c>
      <c r="E216" s="6" t="s">
        <v>98</v>
      </c>
      <c r="F216" s="6"/>
      <c r="G216" s="6"/>
      <c r="H216" s="6" t="s">
        <v>383</v>
      </c>
      <c r="I216" s="6"/>
    </row>
    <row r="217" customFormat="false" ht="15" hidden="false" customHeight="false" outlineLevel="0" collapsed="false">
      <c r="A217" s="6" t="s">
        <v>380</v>
      </c>
      <c r="B217" s="6" t="s">
        <v>380</v>
      </c>
      <c r="C217" s="6" t="s">
        <v>381</v>
      </c>
      <c r="D217" s="6" t="s">
        <v>120</v>
      </c>
      <c r="E217" s="6" t="s">
        <v>98</v>
      </c>
      <c r="F217" s="6"/>
      <c r="G217" s="6" t="s">
        <v>392</v>
      </c>
      <c r="H217" s="6" t="s">
        <v>383</v>
      </c>
      <c r="I217" s="6"/>
    </row>
    <row r="218" customFormat="false" ht="15" hidden="false" customHeight="false" outlineLevel="0" collapsed="false">
      <c r="A218" s="6" t="s">
        <v>393</v>
      </c>
      <c r="B218" s="6" t="s">
        <v>393</v>
      </c>
      <c r="C218" s="6" t="s">
        <v>303</v>
      </c>
      <c r="D218" s="6" t="s">
        <v>394</v>
      </c>
      <c r="E218" s="6" t="s">
        <v>98</v>
      </c>
      <c r="F218" s="6" t="s">
        <v>99</v>
      </c>
      <c r="G218" s="6"/>
      <c r="H218" s="6" t="s">
        <v>395</v>
      </c>
      <c r="I218" s="6"/>
    </row>
    <row r="219" customFormat="false" ht="15" hidden="false" customHeight="false" outlineLevel="0" collapsed="false">
      <c r="A219" s="6" t="s">
        <v>393</v>
      </c>
      <c r="B219" s="6" t="s">
        <v>393</v>
      </c>
      <c r="C219" s="6" t="s">
        <v>303</v>
      </c>
      <c r="D219" s="6" t="s">
        <v>396</v>
      </c>
      <c r="E219" s="6" t="s">
        <v>98</v>
      </c>
      <c r="F219" s="6" t="s">
        <v>172</v>
      </c>
      <c r="G219" s="6"/>
      <c r="H219" s="6" t="s">
        <v>395</v>
      </c>
      <c r="I219" s="6"/>
    </row>
    <row r="220" customFormat="false" ht="15" hidden="false" customHeight="false" outlineLevel="0" collapsed="false">
      <c r="A220" s="6" t="s">
        <v>393</v>
      </c>
      <c r="B220" s="6" t="s">
        <v>393</v>
      </c>
      <c r="C220" s="6" t="s">
        <v>303</v>
      </c>
      <c r="D220" s="6" t="s">
        <v>397</v>
      </c>
      <c r="E220" s="6" t="s">
        <v>98</v>
      </c>
      <c r="F220" s="6" t="s">
        <v>172</v>
      </c>
      <c r="G220" s="6"/>
      <c r="H220" s="6" t="s">
        <v>395</v>
      </c>
      <c r="I220" s="6"/>
    </row>
    <row r="221" customFormat="false" ht="15" hidden="false" customHeight="false" outlineLevel="0" collapsed="false">
      <c r="A221" s="6" t="s">
        <v>393</v>
      </c>
      <c r="B221" s="6" t="s">
        <v>393</v>
      </c>
      <c r="C221" s="6" t="s">
        <v>303</v>
      </c>
      <c r="D221" s="6" t="s">
        <v>228</v>
      </c>
      <c r="E221" s="6" t="s">
        <v>98</v>
      </c>
      <c r="F221" s="6" t="s">
        <v>172</v>
      </c>
      <c r="G221" s="6"/>
      <c r="H221" s="6" t="s">
        <v>395</v>
      </c>
      <c r="I221" s="6"/>
    </row>
    <row r="222" customFormat="false" ht="15" hidden="false" customHeight="false" outlineLevel="0" collapsed="false">
      <c r="A222" s="6" t="s">
        <v>393</v>
      </c>
      <c r="B222" s="6" t="s">
        <v>393</v>
      </c>
      <c r="C222" s="6" t="s">
        <v>303</v>
      </c>
      <c r="D222" s="6" t="s">
        <v>398</v>
      </c>
      <c r="E222" s="6" t="s">
        <v>116</v>
      </c>
      <c r="F222" s="6"/>
      <c r="G222" s="6"/>
      <c r="H222" s="6" t="s">
        <v>395</v>
      </c>
      <c r="I222" s="6"/>
    </row>
    <row r="223" customFormat="false" ht="15" hidden="false" customHeight="false" outlineLevel="0" collapsed="false">
      <c r="A223" s="6" t="s">
        <v>393</v>
      </c>
      <c r="B223" s="6" t="s">
        <v>393</v>
      </c>
      <c r="C223" s="6" t="s">
        <v>303</v>
      </c>
      <c r="D223" s="6" t="s">
        <v>399</v>
      </c>
      <c r="E223" s="6" t="s">
        <v>98</v>
      </c>
      <c r="F223" s="6"/>
      <c r="G223" s="6" t="s">
        <v>400</v>
      </c>
      <c r="H223" s="6" t="s">
        <v>395</v>
      </c>
      <c r="I223" s="6"/>
    </row>
    <row r="224" customFormat="false" ht="15" hidden="false" customHeight="false" outlineLevel="0" collapsed="false">
      <c r="A224" s="6" t="s">
        <v>393</v>
      </c>
      <c r="B224" s="6" t="s">
        <v>393</v>
      </c>
      <c r="C224" s="6" t="s">
        <v>303</v>
      </c>
      <c r="D224" s="6" t="s">
        <v>294</v>
      </c>
      <c r="E224" s="6" t="s">
        <v>98</v>
      </c>
      <c r="F224" s="6"/>
      <c r="G224" s="6" t="s">
        <v>401</v>
      </c>
      <c r="H224" s="6" t="s">
        <v>395</v>
      </c>
      <c r="I224" s="6"/>
    </row>
    <row r="225" customFormat="false" ht="15" hidden="false" customHeight="false" outlineLevel="0" collapsed="false">
      <c r="A225" s="6" t="s">
        <v>393</v>
      </c>
      <c r="B225" s="6" t="s">
        <v>393</v>
      </c>
      <c r="C225" s="6" t="s">
        <v>303</v>
      </c>
      <c r="D225" s="6" t="s">
        <v>402</v>
      </c>
      <c r="E225" s="6" t="s">
        <v>119</v>
      </c>
      <c r="F225" s="6"/>
      <c r="G225" s="6"/>
      <c r="H225" s="6" t="s">
        <v>395</v>
      </c>
      <c r="I225" s="6"/>
    </row>
    <row r="226" customFormat="false" ht="15" hidden="false" customHeight="false" outlineLevel="0" collapsed="false">
      <c r="A226" s="6" t="s">
        <v>393</v>
      </c>
      <c r="B226" s="6" t="s">
        <v>393</v>
      </c>
      <c r="C226" s="6" t="s">
        <v>303</v>
      </c>
      <c r="D226" s="6" t="s">
        <v>120</v>
      </c>
      <c r="E226" s="6" t="s">
        <v>98</v>
      </c>
      <c r="F226" s="6"/>
      <c r="G226" s="6" t="s">
        <v>403</v>
      </c>
      <c r="H226" s="6" t="s">
        <v>395</v>
      </c>
      <c r="I226" s="6"/>
    </row>
    <row r="227" customFormat="false" ht="15" hidden="false" customHeight="false" outlineLevel="0" collapsed="false">
      <c r="A227" s="6" t="s">
        <v>404</v>
      </c>
      <c r="B227" s="6" t="s">
        <v>404</v>
      </c>
      <c r="C227" s="6" t="s">
        <v>405</v>
      </c>
      <c r="D227" s="6" t="s">
        <v>315</v>
      </c>
      <c r="E227" s="6" t="s">
        <v>119</v>
      </c>
      <c r="F227" s="6" t="s">
        <v>99</v>
      </c>
      <c r="G227" s="6"/>
      <c r="H227" s="6" t="s">
        <v>406</v>
      </c>
      <c r="I227" s="6"/>
    </row>
    <row r="228" customFormat="false" ht="15" hidden="false" customHeight="false" outlineLevel="0" collapsed="false">
      <c r="A228" s="6" t="s">
        <v>404</v>
      </c>
      <c r="B228" s="6" t="s">
        <v>404</v>
      </c>
      <c r="C228" s="6" t="s">
        <v>405</v>
      </c>
      <c r="D228" s="6" t="s">
        <v>123</v>
      </c>
      <c r="E228" s="6" t="s">
        <v>98</v>
      </c>
      <c r="F228" s="6" t="s">
        <v>139</v>
      </c>
      <c r="G228" s="6"/>
      <c r="H228" s="6" t="s">
        <v>406</v>
      </c>
      <c r="I228" s="6"/>
    </row>
    <row r="229" customFormat="false" ht="15" hidden="false" customHeight="false" outlineLevel="0" collapsed="false">
      <c r="A229" s="6" t="s">
        <v>404</v>
      </c>
      <c r="B229" s="6" t="s">
        <v>404</v>
      </c>
      <c r="C229" s="6" t="s">
        <v>405</v>
      </c>
      <c r="D229" s="6" t="s">
        <v>240</v>
      </c>
      <c r="E229" s="6" t="s">
        <v>98</v>
      </c>
      <c r="F229" s="6" t="s">
        <v>99</v>
      </c>
      <c r="G229" s="6"/>
      <c r="H229" s="6" t="s">
        <v>406</v>
      </c>
      <c r="I229" s="6"/>
    </row>
    <row r="230" customFormat="false" ht="15" hidden="false" customHeight="false" outlineLevel="0" collapsed="false">
      <c r="A230" s="6" t="s">
        <v>404</v>
      </c>
      <c r="B230" s="6" t="s">
        <v>404</v>
      </c>
      <c r="C230" s="6" t="s">
        <v>405</v>
      </c>
      <c r="D230" s="6" t="s">
        <v>228</v>
      </c>
      <c r="E230" s="6" t="s">
        <v>98</v>
      </c>
      <c r="F230" s="6" t="s">
        <v>172</v>
      </c>
      <c r="G230" s="6" t="s">
        <v>407</v>
      </c>
      <c r="H230" s="6" t="s">
        <v>406</v>
      </c>
      <c r="I230" s="6"/>
    </row>
    <row r="231" customFormat="false" ht="15" hidden="false" customHeight="false" outlineLevel="0" collapsed="false">
      <c r="A231" s="6" t="s">
        <v>404</v>
      </c>
      <c r="B231" s="6" t="s">
        <v>404</v>
      </c>
      <c r="C231" s="6" t="s">
        <v>405</v>
      </c>
      <c r="D231" s="6" t="s">
        <v>408</v>
      </c>
      <c r="E231" s="6" t="s">
        <v>116</v>
      </c>
      <c r="F231" s="6"/>
      <c r="G231" s="6"/>
      <c r="H231" s="6" t="s">
        <v>406</v>
      </c>
      <c r="I231" s="6"/>
    </row>
    <row r="232" customFormat="false" ht="15" hidden="false" customHeight="false" outlineLevel="0" collapsed="false">
      <c r="A232" s="6" t="s">
        <v>404</v>
      </c>
      <c r="B232" s="6" t="s">
        <v>404</v>
      </c>
      <c r="C232" s="6" t="s">
        <v>405</v>
      </c>
      <c r="D232" s="6" t="s">
        <v>409</v>
      </c>
      <c r="E232" s="6" t="s">
        <v>98</v>
      </c>
      <c r="F232" s="6"/>
      <c r="G232" s="6"/>
      <c r="H232" s="6" t="s">
        <v>406</v>
      </c>
      <c r="I232" s="6"/>
    </row>
    <row r="233" customFormat="false" ht="15" hidden="false" customHeight="false" outlineLevel="0" collapsed="false">
      <c r="A233" s="6" t="s">
        <v>404</v>
      </c>
      <c r="B233" s="6" t="s">
        <v>404</v>
      </c>
      <c r="C233" s="6" t="s">
        <v>405</v>
      </c>
      <c r="D233" s="6" t="s">
        <v>410</v>
      </c>
      <c r="E233" s="6" t="s">
        <v>119</v>
      </c>
      <c r="F233" s="6"/>
      <c r="G233" s="6" t="s">
        <v>411</v>
      </c>
      <c r="H233" s="6" t="s">
        <v>406</v>
      </c>
      <c r="I233" s="6"/>
    </row>
    <row r="234" customFormat="false" ht="15" hidden="false" customHeight="false" outlineLevel="0" collapsed="false">
      <c r="A234" s="6" t="s">
        <v>404</v>
      </c>
      <c r="B234" s="6" t="s">
        <v>404</v>
      </c>
      <c r="C234" s="6" t="s">
        <v>405</v>
      </c>
      <c r="D234" s="6" t="s">
        <v>412</v>
      </c>
      <c r="E234" s="6" t="s">
        <v>98</v>
      </c>
      <c r="F234" s="6"/>
      <c r="G234" s="6" t="s">
        <v>413</v>
      </c>
      <c r="H234" s="6" t="s">
        <v>406</v>
      </c>
      <c r="I234" s="6"/>
    </row>
    <row r="235" customFormat="false" ht="15" hidden="false" customHeight="false" outlineLevel="0" collapsed="false">
      <c r="A235" s="6" t="s">
        <v>414</v>
      </c>
      <c r="B235" s="6" t="s">
        <v>414</v>
      </c>
      <c r="C235" s="6" t="s">
        <v>405</v>
      </c>
      <c r="D235" s="6" t="s">
        <v>415</v>
      </c>
      <c r="E235" s="6" t="s">
        <v>119</v>
      </c>
      <c r="F235" s="6" t="s">
        <v>99</v>
      </c>
      <c r="G235" s="6"/>
      <c r="H235" s="6" t="s">
        <v>416</v>
      </c>
      <c r="I235" s="6"/>
    </row>
    <row r="236" customFormat="false" ht="15" hidden="false" customHeight="false" outlineLevel="0" collapsed="false">
      <c r="A236" s="6" t="s">
        <v>414</v>
      </c>
      <c r="B236" s="6" t="s">
        <v>414</v>
      </c>
      <c r="C236" s="6" t="s">
        <v>405</v>
      </c>
      <c r="D236" s="6" t="s">
        <v>110</v>
      </c>
      <c r="E236" s="6" t="s">
        <v>98</v>
      </c>
      <c r="F236" s="6" t="s">
        <v>99</v>
      </c>
      <c r="G236" s="6"/>
      <c r="H236" s="6" t="s">
        <v>416</v>
      </c>
      <c r="I236" s="6"/>
    </row>
    <row r="237" customFormat="false" ht="15" hidden="false" customHeight="false" outlineLevel="0" collapsed="false">
      <c r="A237" s="6" t="s">
        <v>414</v>
      </c>
      <c r="B237" s="6" t="s">
        <v>414</v>
      </c>
      <c r="C237" s="6" t="s">
        <v>405</v>
      </c>
      <c r="D237" s="6" t="s">
        <v>417</v>
      </c>
      <c r="E237" s="6" t="s">
        <v>144</v>
      </c>
      <c r="F237" s="6"/>
      <c r="G237" s="6"/>
      <c r="H237" s="6" t="s">
        <v>416</v>
      </c>
      <c r="I237" s="6"/>
    </row>
    <row r="238" customFormat="false" ht="15" hidden="false" customHeight="false" outlineLevel="0" collapsed="false">
      <c r="A238" s="6" t="s">
        <v>414</v>
      </c>
      <c r="B238" s="6" t="s">
        <v>414</v>
      </c>
      <c r="C238" s="6" t="s">
        <v>405</v>
      </c>
      <c r="D238" s="6" t="s">
        <v>418</v>
      </c>
      <c r="E238" s="6" t="s">
        <v>116</v>
      </c>
      <c r="F238" s="6"/>
      <c r="G238" s="6"/>
      <c r="H238" s="6" t="s">
        <v>416</v>
      </c>
      <c r="I238" s="6"/>
    </row>
    <row r="239" customFormat="false" ht="15" hidden="false" customHeight="false" outlineLevel="0" collapsed="false">
      <c r="A239" s="6" t="s">
        <v>414</v>
      </c>
      <c r="B239" s="6" t="s">
        <v>414</v>
      </c>
      <c r="C239" s="6" t="s">
        <v>405</v>
      </c>
      <c r="D239" s="6" t="s">
        <v>419</v>
      </c>
      <c r="E239" s="6" t="s">
        <v>116</v>
      </c>
      <c r="F239" s="6"/>
      <c r="G239" s="6"/>
      <c r="H239" s="6" t="s">
        <v>416</v>
      </c>
      <c r="I239" s="6"/>
    </row>
    <row r="240" customFormat="false" ht="15" hidden="false" customHeight="false" outlineLevel="0" collapsed="false">
      <c r="A240" s="6" t="s">
        <v>414</v>
      </c>
      <c r="B240" s="6" t="s">
        <v>414</v>
      </c>
      <c r="C240" s="6" t="s">
        <v>405</v>
      </c>
      <c r="D240" s="6" t="s">
        <v>420</v>
      </c>
      <c r="E240" s="6" t="s">
        <v>113</v>
      </c>
      <c r="F240" s="6"/>
      <c r="G240" s="6" t="s">
        <v>421</v>
      </c>
      <c r="H240" s="6" t="s">
        <v>416</v>
      </c>
      <c r="I240" s="6"/>
    </row>
    <row r="241" customFormat="false" ht="15" hidden="false" customHeight="false" outlineLevel="0" collapsed="false">
      <c r="A241" s="6" t="s">
        <v>414</v>
      </c>
      <c r="B241" s="6" t="s">
        <v>414</v>
      </c>
      <c r="C241" s="6" t="s">
        <v>405</v>
      </c>
      <c r="D241" s="6" t="s">
        <v>422</v>
      </c>
      <c r="E241" s="6" t="s">
        <v>98</v>
      </c>
      <c r="F241" s="6"/>
      <c r="G241" s="6" t="s">
        <v>423</v>
      </c>
      <c r="H241" s="6" t="s">
        <v>416</v>
      </c>
      <c r="I241" s="6"/>
    </row>
    <row r="242" customFormat="false" ht="15" hidden="false" customHeight="false" outlineLevel="0" collapsed="false">
      <c r="A242" s="6" t="s">
        <v>424</v>
      </c>
      <c r="B242" s="6" t="s">
        <v>424</v>
      </c>
      <c r="C242" s="6" t="s">
        <v>405</v>
      </c>
      <c r="D242" s="6" t="s">
        <v>425</v>
      </c>
      <c r="E242" s="6" t="s">
        <v>119</v>
      </c>
      <c r="F242" s="6" t="s">
        <v>99</v>
      </c>
      <c r="G242" s="6"/>
      <c r="H242" s="6" t="s">
        <v>426</v>
      </c>
      <c r="I242" s="6"/>
    </row>
    <row r="243" customFormat="false" ht="15" hidden="false" customHeight="false" outlineLevel="0" collapsed="false">
      <c r="A243" s="6" t="s">
        <v>424</v>
      </c>
      <c r="B243" s="6" t="s">
        <v>424</v>
      </c>
      <c r="C243" s="6" t="s">
        <v>405</v>
      </c>
      <c r="D243" s="6" t="s">
        <v>97</v>
      </c>
      <c r="E243" s="6" t="s">
        <v>98</v>
      </c>
      <c r="F243" s="6" t="s">
        <v>139</v>
      </c>
      <c r="G243" s="6"/>
      <c r="H243" s="6" t="s">
        <v>426</v>
      </c>
      <c r="I243" s="6"/>
    </row>
    <row r="244" customFormat="false" ht="15" hidden="false" customHeight="false" outlineLevel="0" collapsed="false">
      <c r="A244" s="6" t="s">
        <v>424</v>
      </c>
      <c r="B244" s="6" t="s">
        <v>424</v>
      </c>
      <c r="C244" s="6" t="s">
        <v>405</v>
      </c>
      <c r="D244" s="6" t="s">
        <v>427</v>
      </c>
      <c r="E244" s="6" t="s">
        <v>116</v>
      </c>
      <c r="F244" s="6"/>
      <c r="G244" s="6"/>
      <c r="H244" s="6" t="s">
        <v>426</v>
      </c>
      <c r="I244" s="6"/>
    </row>
    <row r="245" customFormat="false" ht="15" hidden="false" customHeight="false" outlineLevel="0" collapsed="false">
      <c r="A245" s="6" t="s">
        <v>424</v>
      </c>
      <c r="B245" s="6" t="s">
        <v>424</v>
      </c>
      <c r="C245" s="6" t="s">
        <v>405</v>
      </c>
      <c r="D245" s="6" t="s">
        <v>428</v>
      </c>
      <c r="E245" s="6" t="s">
        <v>116</v>
      </c>
      <c r="F245" s="6"/>
      <c r="G245" s="6"/>
      <c r="H245" s="6" t="s">
        <v>426</v>
      </c>
      <c r="I245" s="6"/>
    </row>
    <row r="246" customFormat="false" ht="15" hidden="false" customHeight="false" outlineLevel="0" collapsed="false">
      <c r="A246" s="6" t="s">
        <v>424</v>
      </c>
      <c r="B246" s="6" t="s">
        <v>424</v>
      </c>
      <c r="C246" s="6" t="s">
        <v>405</v>
      </c>
      <c r="D246" s="6" t="s">
        <v>429</v>
      </c>
      <c r="E246" s="6" t="s">
        <v>144</v>
      </c>
      <c r="F246" s="6"/>
      <c r="G246" s="6" t="s">
        <v>430</v>
      </c>
      <c r="H246" s="6" t="s">
        <v>426</v>
      </c>
      <c r="I246" s="6"/>
    </row>
    <row r="247" customFormat="false" ht="15" hidden="false" customHeight="false" outlineLevel="0" collapsed="false">
      <c r="A247" s="6" t="s">
        <v>431</v>
      </c>
      <c r="B247" s="6" t="s">
        <v>431</v>
      </c>
      <c r="C247" s="6" t="s">
        <v>381</v>
      </c>
      <c r="D247" s="6" t="s">
        <v>432</v>
      </c>
      <c r="E247" s="6" t="s">
        <v>119</v>
      </c>
      <c r="F247" s="6" t="s">
        <v>99</v>
      </c>
      <c r="G247" s="6" t="s">
        <v>433</v>
      </c>
      <c r="H247" s="6" t="s">
        <v>434</v>
      </c>
      <c r="I247" s="6"/>
    </row>
    <row r="248" customFormat="false" ht="15" hidden="false" customHeight="false" outlineLevel="0" collapsed="false">
      <c r="A248" s="6" t="s">
        <v>431</v>
      </c>
      <c r="B248" s="6" t="s">
        <v>431</v>
      </c>
      <c r="C248" s="6" t="s">
        <v>381</v>
      </c>
      <c r="D248" s="6" t="s">
        <v>97</v>
      </c>
      <c r="E248" s="6" t="s">
        <v>98</v>
      </c>
      <c r="F248" s="6" t="s">
        <v>139</v>
      </c>
      <c r="G248" s="6"/>
      <c r="H248" s="6" t="s">
        <v>434</v>
      </c>
      <c r="I248" s="6"/>
    </row>
    <row r="249" customFormat="false" ht="15" hidden="false" customHeight="false" outlineLevel="0" collapsed="false">
      <c r="A249" s="6" t="s">
        <v>431</v>
      </c>
      <c r="B249" s="6" t="s">
        <v>431</v>
      </c>
      <c r="C249" s="6" t="s">
        <v>381</v>
      </c>
      <c r="D249" s="6" t="s">
        <v>228</v>
      </c>
      <c r="E249" s="6" t="s">
        <v>98</v>
      </c>
      <c r="F249" s="6" t="s">
        <v>139</v>
      </c>
      <c r="G249" s="6"/>
      <c r="H249" s="6" t="s">
        <v>434</v>
      </c>
      <c r="I249" s="6"/>
    </row>
    <row r="250" customFormat="false" ht="15" hidden="false" customHeight="false" outlineLevel="0" collapsed="false">
      <c r="A250" s="6" t="s">
        <v>431</v>
      </c>
      <c r="B250" s="6" t="s">
        <v>431</v>
      </c>
      <c r="C250" s="6" t="s">
        <v>381</v>
      </c>
      <c r="D250" s="6" t="s">
        <v>435</v>
      </c>
      <c r="E250" s="6" t="s">
        <v>144</v>
      </c>
      <c r="F250" s="6"/>
      <c r="G250" s="6"/>
      <c r="H250" s="6" t="s">
        <v>434</v>
      </c>
      <c r="I250" s="6"/>
    </row>
    <row r="251" customFormat="false" ht="15" hidden="false" customHeight="false" outlineLevel="0" collapsed="false">
      <c r="A251" s="6" t="s">
        <v>431</v>
      </c>
      <c r="B251" s="6" t="s">
        <v>431</v>
      </c>
      <c r="C251" s="6" t="s">
        <v>381</v>
      </c>
      <c r="D251" s="6" t="s">
        <v>436</v>
      </c>
      <c r="E251" s="6" t="s">
        <v>144</v>
      </c>
      <c r="F251" s="6"/>
      <c r="G251" s="6" t="s">
        <v>437</v>
      </c>
      <c r="H251" s="6" t="s">
        <v>434</v>
      </c>
      <c r="I251" s="6"/>
    </row>
    <row r="252" customFormat="false" ht="15" hidden="false" customHeight="false" outlineLevel="0" collapsed="false">
      <c r="A252" s="6" t="s">
        <v>431</v>
      </c>
      <c r="B252" s="6" t="s">
        <v>431</v>
      </c>
      <c r="C252" s="6" t="s">
        <v>381</v>
      </c>
      <c r="D252" s="6" t="s">
        <v>438</v>
      </c>
      <c r="E252" s="6" t="s">
        <v>98</v>
      </c>
      <c r="F252" s="6"/>
      <c r="G252" s="6"/>
      <c r="H252" s="6" t="s">
        <v>434</v>
      </c>
      <c r="I252" s="6"/>
    </row>
    <row r="253" customFormat="false" ht="15" hidden="false" customHeight="false" outlineLevel="0" collapsed="false">
      <c r="A253" s="6" t="s">
        <v>431</v>
      </c>
      <c r="B253" s="6" t="s">
        <v>431</v>
      </c>
      <c r="C253" s="6" t="s">
        <v>381</v>
      </c>
      <c r="D253" s="6" t="s">
        <v>439</v>
      </c>
      <c r="E253" s="6" t="s">
        <v>144</v>
      </c>
      <c r="F253" s="6"/>
      <c r="G253" s="6" t="s">
        <v>440</v>
      </c>
      <c r="H253" s="6" t="s">
        <v>434</v>
      </c>
      <c r="I253" s="6"/>
    </row>
    <row r="254" customFormat="false" ht="15" hidden="false" customHeight="false" outlineLevel="0" collapsed="false">
      <c r="A254" s="6" t="s">
        <v>441</v>
      </c>
      <c r="B254" s="6" t="s">
        <v>441</v>
      </c>
      <c r="C254" s="6" t="s">
        <v>381</v>
      </c>
      <c r="D254" s="6" t="s">
        <v>442</v>
      </c>
      <c r="E254" s="6" t="s">
        <v>98</v>
      </c>
      <c r="F254" s="6" t="s">
        <v>99</v>
      </c>
      <c r="G254" s="6"/>
      <c r="H254" s="6" t="s">
        <v>443</v>
      </c>
      <c r="I254" s="6"/>
    </row>
    <row r="255" customFormat="false" ht="15" hidden="false" customHeight="false" outlineLevel="0" collapsed="false">
      <c r="A255" s="6" t="s">
        <v>441</v>
      </c>
      <c r="B255" s="6" t="s">
        <v>441</v>
      </c>
      <c r="C255" s="6" t="s">
        <v>381</v>
      </c>
      <c r="D255" s="6" t="s">
        <v>402</v>
      </c>
      <c r="E255" s="6" t="s">
        <v>119</v>
      </c>
      <c r="F255" s="6"/>
      <c r="G255" s="6"/>
      <c r="H255" s="6" t="s">
        <v>443</v>
      </c>
      <c r="I255" s="6"/>
    </row>
    <row r="256" customFormat="false" ht="15" hidden="false" customHeight="false" outlineLevel="0" collapsed="false">
      <c r="A256" s="6" t="s">
        <v>441</v>
      </c>
      <c r="B256" s="6" t="s">
        <v>441</v>
      </c>
      <c r="C256" s="6" t="s">
        <v>381</v>
      </c>
      <c r="D256" s="6" t="s">
        <v>97</v>
      </c>
      <c r="E256" s="6" t="s">
        <v>98</v>
      </c>
      <c r="F256" s="6" t="s">
        <v>172</v>
      </c>
      <c r="G256" s="6"/>
      <c r="H256" s="6" t="s">
        <v>443</v>
      </c>
      <c r="I256" s="6"/>
    </row>
    <row r="257" customFormat="false" ht="15" hidden="false" customHeight="false" outlineLevel="0" collapsed="false">
      <c r="A257" s="6" t="s">
        <v>441</v>
      </c>
      <c r="B257" s="6" t="s">
        <v>441</v>
      </c>
      <c r="C257" s="6" t="s">
        <v>381</v>
      </c>
      <c r="D257" s="6" t="s">
        <v>228</v>
      </c>
      <c r="E257" s="6" t="s">
        <v>98</v>
      </c>
      <c r="F257" s="6" t="s">
        <v>172</v>
      </c>
      <c r="G257" s="6"/>
      <c r="H257" s="6" t="s">
        <v>443</v>
      </c>
      <c r="I257" s="6"/>
    </row>
    <row r="258" customFormat="false" ht="15" hidden="false" customHeight="false" outlineLevel="0" collapsed="false">
      <c r="A258" s="6" t="s">
        <v>441</v>
      </c>
      <c r="B258" s="6" t="s">
        <v>441</v>
      </c>
      <c r="C258" s="6" t="s">
        <v>381</v>
      </c>
      <c r="D258" s="6" t="s">
        <v>444</v>
      </c>
      <c r="E258" s="6" t="s">
        <v>98</v>
      </c>
      <c r="F258" s="6"/>
      <c r="G258" s="6" t="s">
        <v>445</v>
      </c>
      <c r="H258" s="6" t="s">
        <v>443</v>
      </c>
      <c r="I258" s="6"/>
    </row>
    <row r="259" customFormat="false" ht="15" hidden="false" customHeight="false" outlineLevel="0" collapsed="false">
      <c r="A259" s="6" t="s">
        <v>441</v>
      </c>
      <c r="B259" s="6" t="s">
        <v>441</v>
      </c>
      <c r="C259" s="6" t="s">
        <v>381</v>
      </c>
      <c r="D259" s="6" t="s">
        <v>446</v>
      </c>
      <c r="E259" s="6" t="s">
        <v>116</v>
      </c>
      <c r="F259" s="6"/>
      <c r="G259" s="6"/>
      <c r="H259" s="6" t="s">
        <v>443</v>
      </c>
      <c r="I259" s="6"/>
    </row>
    <row r="260" customFormat="false" ht="15" hidden="false" customHeight="false" outlineLevel="0" collapsed="false">
      <c r="A260" s="6" t="s">
        <v>441</v>
      </c>
      <c r="B260" s="6" t="s">
        <v>441</v>
      </c>
      <c r="C260" s="6" t="s">
        <v>381</v>
      </c>
      <c r="D260" s="6" t="s">
        <v>320</v>
      </c>
      <c r="E260" s="6" t="s">
        <v>119</v>
      </c>
      <c r="F260" s="6"/>
      <c r="G260" s="6"/>
      <c r="H260" s="6" t="s">
        <v>443</v>
      </c>
      <c r="I260" s="6"/>
    </row>
    <row r="261" customFormat="false" ht="15" hidden="false" customHeight="false" outlineLevel="0" collapsed="false">
      <c r="A261" s="6" t="s">
        <v>441</v>
      </c>
      <c r="B261" s="6" t="s">
        <v>441</v>
      </c>
      <c r="C261" s="6" t="s">
        <v>381</v>
      </c>
      <c r="D261" s="6" t="s">
        <v>399</v>
      </c>
      <c r="E261" s="6" t="s">
        <v>98</v>
      </c>
      <c r="F261" s="6"/>
      <c r="G261" s="6"/>
      <c r="H261" s="6" t="s">
        <v>443</v>
      </c>
      <c r="I261" s="6"/>
    </row>
    <row r="262" customFormat="false" ht="15" hidden="false" customHeight="false" outlineLevel="0" collapsed="false">
      <c r="A262" s="6" t="s">
        <v>441</v>
      </c>
      <c r="B262" s="6" t="s">
        <v>441</v>
      </c>
      <c r="C262" s="6" t="s">
        <v>381</v>
      </c>
      <c r="D262" s="6" t="s">
        <v>447</v>
      </c>
      <c r="E262" s="6" t="s">
        <v>98</v>
      </c>
      <c r="F262" s="6"/>
      <c r="G262" s="6"/>
      <c r="H262" s="6" t="s">
        <v>443</v>
      </c>
      <c r="I262" s="6"/>
    </row>
    <row r="263" customFormat="false" ht="15" hidden="false" customHeight="false" outlineLevel="0" collapsed="false">
      <c r="A263" s="6" t="s">
        <v>441</v>
      </c>
      <c r="B263" s="6" t="s">
        <v>441</v>
      </c>
      <c r="C263" s="6" t="s">
        <v>381</v>
      </c>
      <c r="D263" s="6" t="s">
        <v>120</v>
      </c>
      <c r="E263" s="6" t="s">
        <v>98</v>
      </c>
      <c r="F263" s="6"/>
      <c r="G263" s="6" t="s">
        <v>448</v>
      </c>
      <c r="H263" s="6" t="s">
        <v>443</v>
      </c>
      <c r="I263" s="6"/>
    </row>
    <row r="264" customFormat="false" ht="15" hidden="false" customHeight="false" outlineLevel="0" collapsed="false">
      <c r="A264" s="6" t="s">
        <v>449</v>
      </c>
      <c r="B264" s="6" t="s">
        <v>449</v>
      </c>
      <c r="C264" s="6" t="s">
        <v>381</v>
      </c>
      <c r="D264" s="6" t="s">
        <v>450</v>
      </c>
      <c r="E264" s="6" t="s">
        <v>98</v>
      </c>
      <c r="F264" s="6" t="s">
        <v>99</v>
      </c>
      <c r="G264" s="6"/>
      <c r="H264" s="6" t="s">
        <v>451</v>
      </c>
      <c r="I264" s="6"/>
    </row>
    <row r="265" customFormat="false" ht="15" hidden="false" customHeight="false" outlineLevel="0" collapsed="false">
      <c r="A265" s="6" t="s">
        <v>449</v>
      </c>
      <c r="B265" s="6" t="s">
        <v>449</v>
      </c>
      <c r="C265" s="6" t="s">
        <v>381</v>
      </c>
      <c r="D265" s="6" t="s">
        <v>97</v>
      </c>
      <c r="E265" s="6" t="s">
        <v>98</v>
      </c>
      <c r="F265" s="6" t="s">
        <v>172</v>
      </c>
      <c r="G265" s="6"/>
      <c r="H265" s="6" t="s">
        <v>451</v>
      </c>
      <c r="I265" s="6"/>
    </row>
    <row r="266" customFormat="false" ht="15" hidden="false" customHeight="false" outlineLevel="0" collapsed="false">
      <c r="A266" s="6" t="s">
        <v>449</v>
      </c>
      <c r="B266" s="6" t="s">
        <v>449</v>
      </c>
      <c r="C266" s="6" t="s">
        <v>381</v>
      </c>
      <c r="D266" s="6" t="s">
        <v>228</v>
      </c>
      <c r="E266" s="6" t="s">
        <v>98</v>
      </c>
      <c r="F266" s="6" t="s">
        <v>172</v>
      </c>
      <c r="G266" s="6"/>
      <c r="H266" s="6" t="s">
        <v>451</v>
      </c>
      <c r="I266" s="6"/>
    </row>
    <row r="267" customFormat="false" ht="15" hidden="false" customHeight="false" outlineLevel="0" collapsed="false">
      <c r="A267" s="6" t="s">
        <v>449</v>
      </c>
      <c r="B267" s="6" t="s">
        <v>449</v>
      </c>
      <c r="C267" s="6" t="s">
        <v>381</v>
      </c>
      <c r="D267" s="6" t="s">
        <v>452</v>
      </c>
      <c r="E267" s="6" t="s">
        <v>119</v>
      </c>
      <c r="F267" s="6"/>
      <c r="G267" s="6"/>
      <c r="H267" s="6" t="s">
        <v>451</v>
      </c>
      <c r="I267" s="6"/>
    </row>
    <row r="268" customFormat="false" ht="15" hidden="false" customHeight="false" outlineLevel="0" collapsed="false">
      <c r="A268" s="6" t="s">
        <v>449</v>
      </c>
      <c r="B268" s="6" t="s">
        <v>449</v>
      </c>
      <c r="C268" s="6" t="s">
        <v>381</v>
      </c>
      <c r="D268" s="6" t="s">
        <v>453</v>
      </c>
      <c r="E268" s="6" t="s">
        <v>119</v>
      </c>
      <c r="F268" s="6"/>
      <c r="G268" s="6" t="s">
        <v>454</v>
      </c>
      <c r="H268" s="6" t="s">
        <v>451</v>
      </c>
      <c r="I268" s="6"/>
    </row>
    <row r="269" customFormat="false" ht="15" hidden="false" customHeight="false" outlineLevel="0" collapsed="false">
      <c r="A269" s="6" t="s">
        <v>449</v>
      </c>
      <c r="B269" s="6" t="s">
        <v>449</v>
      </c>
      <c r="C269" s="6" t="s">
        <v>381</v>
      </c>
      <c r="D269" s="6" t="s">
        <v>455</v>
      </c>
      <c r="E269" s="6" t="s">
        <v>116</v>
      </c>
      <c r="F269" s="6"/>
      <c r="G269" s="6"/>
      <c r="H269" s="6" t="s">
        <v>451</v>
      </c>
      <c r="I269" s="6"/>
    </row>
    <row r="270" customFormat="false" ht="15" hidden="false" customHeight="false" outlineLevel="0" collapsed="false">
      <c r="A270" s="6" t="s">
        <v>449</v>
      </c>
      <c r="B270" s="6" t="s">
        <v>449</v>
      </c>
      <c r="C270" s="6" t="s">
        <v>381</v>
      </c>
      <c r="D270" s="6" t="s">
        <v>456</v>
      </c>
      <c r="E270" s="6" t="s">
        <v>144</v>
      </c>
      <c r="F270" s="6"/>
      <c r="G270" s="6"/>
      <c r="H270" s="6" t="s">
        <v>451</v>
      </c>
      <c r="I270" s="6"/>
    </row>
    <row r="271" customFormat="false" ht="22.35" hidden="false" customHeight="false" outlineLevel="0" collapsed="false">
      <c r="A271" s="6" t="s">
        <v>449</v>
      </c>
      <c r="B271" s="6" t="s">
        <v>449</v>
      </c>
      <c r="C271" s="6" t="s">
        <v>381</v>
      </c>
      <c r="D271" s="6" t="s">
        <v>457</v>
      </c>
      <c r="E271" s="6" t="s">
        <v>150</v>
      </c>
      <c r="F271" s="6"/>
      <c r="G271" s="6"/>
      <c r="H271" s="6" t="s">
        <v>451</v>
      </c>
      <c r="I271" s="6"/>
    </row>
    <row r="272" customFormat="false" ht="15" hidden="false" customHeight="false" outlineLevel="0" collapsed="false">
      <c r="A272" s="6" t="s">
        <v>449</v>
      </c>
      <c r="B272" s="6" t="s">
        <v>449</v>
      </c>
      <c r="C272" s="6" t="s">
        <v>381</v>
      </c>
      <c r="D272" s="6" t="s">
        <v>458</v>
      </c>
      <c r="E272" s="6" t="s">
        <v>113</v>
      </c>
      <c r="F272" s="6"/>
      <c r="G272" s="6" t="s">
        <v>459</v>
      </c>
      <c r="H272" s="6" t="s">
        <v>451</v>
      </c>
      <c r="I272" s="6"/>
    </row>
    <row r="273" customFormat="false" ht="15" hidden="false" customHeight="false" outlineLevel="0" collapsed="false">
      <c r="A273" s="6" t="s">
        <v>449</v>
      </c>
      <c r="B273" s="6" t="s">
        <v>449</v>
      </c>
      <c r="C273" s="6" t="s">
        <v>381</v>
      </c>
      <c r="D273" s="6" t="s">
        <v>460</v>
      </c>
      <c r="E273" s="6" t="s">
        <v>98</v>
      </c>
      <c r="F273" s="6"/>
      <c r="G273" s="6" t="s">
        <v>461</v>
      </c>
      <c r="H273" s="6" t="s">
        <v>451</v>
      </c>
      <c r="I273" s="6"/>
    </row>
    <row r="274" customFormat="false" ht="15" hidden="false" customHeight="false" outlineLevel="0" collapsed="false">
      <c r="A274" s="6" t="s">
        <v>462</v>
      </c>
      <c r="B274" s="6" t="s">
        <v>462</v>
      </c>
      <c r="C274" s="6" t="s">
        <v>303</v>
      </c>
      <c r="D274" s="6" t="s">
        <v>450</v>
      </c>
      <c r="E274" s="6" t="s">
        <v>98</v>
      </c>
      <c r="F274" s="6" t="s">
        <v>99</v>
      </c>
      <c r="G274" s="6"/>
      <c r="H274" s="6" t="s">
        <v>463</v>
      </c>
      <c r="I274" s="6"/>
    </row>
    <row r="275" customFormat="false" ht="15" hidden="false" customHeight="false" outlineLevel="0" collapsed="false">
      <c r="A275" s="6" t="s">
        <v>462</v>
      </c>
      <c r="B275" s="6" t="s">
        <v>462</v>
      </c>
      <c r="C275" s="6" t="s">
        <v>303</v>
      </c>
      <c r="D275" s="6" t="s">
        <v>464</v>
      </c>
      <c r="E275" s="6" t="s">
        <v>98</v>
      </c>
      <c r="F275" s="6"/>
      <c r="G275" s="6" t="s">
        <v>465</v>
      </c>
      <c r="H275" s="6" t="s">
        <v>463</v>
      </c>
      <c r="I275" s="6"/>
    </row>
    <row r="276" customFormat="false" ht="15" hidden="false" customHeight="false" outlineLevel="0" collapsed="false">
      <c r="A276" s="6" t="s">
        <v>462</v>
      </c>
      <c r="B276" s="6" t="s">
        <v>462</v>
      </c>
      <c r="C276" s="6" t="s">
        <v>303</v>
      </c>
      <c r="D276" s="6" t="s">
        <v>123</v>
      </c>
      <c r="E276" s="6" t="s">
        <v>98</v>
      </c>
      <c r="F276" s="6" t="s">
        <v>172</v>
      </c>
      <c r="G276" s="6"/>
      <c r="H276" s="6" t="s">
        <v>463</v>
      </c>
      <c r="I276" s="6"/>
    </row>
    <row r="277" customFormat="false" ht="15" hidden="false" customHeight="false" outlineLevel="0" collapsed="false">
      <c r="A277" s="6" t="s">
        <v>462</v>
      </c>
      <c r="B277" s="6" t="s">
        <v>462</v>
      </c>
      <c r="C277" s="6" t="s">
        <v>303</v>
      </c>
      <c r="D277" s="6" t="s">
        <v>292</v>
      </c>
      <c r="E277" s="6" t="s">
        <v>98</v>
      </c>
      <c r="F277" s="6"/>
      <c r="G277" s="6"/>
      <c r="H277" s="6" t="s">
        <v>463</v>
      </c>
      <c r="I277" s="6"/>
    </row>
    <row r="278" customFormat="false" ht="15" hidden="false" customHeight="false" outlineLevel="0" collapsed="false">
      <c r="A278" s="6" t="s">
        <v>462</v>
      </c>
      <c r="B278" s="6" t="s">
        <v>462</v>
      </c>
      <c r="C278" s="6" t="s">
        <v>303</v>
      </c>
      <c r="D278" s="6" t="s">
        <v>466</v>
      </c>
      <c r="E278" s="6" t="s">
        <v>116</v>
      </c>
      <c r="F278" s="6"/>
      <c r="G278" s="6"/>
      <c r="H278" s="6" t="s">
        <v>463</v>
      </c>
      <c r="I278" s="6"/>
    </row>
    <row r="279" customFormat="false" ht="15" hidden="false" customHeight="false" outlineLevel="0" collapsed="false">
      <c r="A279" s="6" t="s">
        <v>462</v>
      </c>
      <c r="B279" s="6" t="s">
        <v>462</v>
      </c>
      <c r="C279" s="6" t="s">
        <v>303</v>
      </c>
      <c r="D279" s="6" t="s">
        <v>283</v>
      </c>
      <c r="E279" s="6" t="s">
        <v>119</v>
      </c>
      <c r="F279" s="6"/>
      <c r="G279" s="6"/>
      <c r="H279" s="6" t="s">
        <v>463</v>
      </c>
      <c r="I279" s="6"/>
    </row>
    <row r="280" customFormat="false" ht="15" hidden="false" customHeight="false" outlineLevel="0" collapsed="false">
      <c r="A280" s="6" t="s">
        <v>462</v>
      </c>
      <c r="B280" s="6" t="s">
        <v>462</v>
      </c>
      <c r="C280" s="6" t="s">
        <v>303</v>
      </c>
      <c r="D280" s="6" t="s">
        <v>467</v>
      </c>
      <c r="E280" s="6" t="s">
        <v>113</v>
      </c>
      <c r="F280" s="6"/>
      <c r="G280" s="6"/>
      <c r="H280" s="6" t="s">
        <v>463</v>
      </c>
      <c r="I280" s="6"/>
    </row>
    <row r="281" customFormat="false" ht="15" hidden="false" customHeight="false" outlineLevel="0" collapsed="false">
      <c r="A281" s="6" t="s">
        <v>462</v>
      </c>
      <c r="B281" s="6" t="s">
        <v>462</v>
      </c>
      <c r="C281" s="6" t="s">
        <v>303</v>
      </c>
      <c r="D281" s="6" t="s">
        <v>468</v>
      </c>
      <c r="E281" s="6" t="s">
        <v>113</v>
      </c>
      <c r="F281" s="6"/>
      <c r="G281" s="6"/>
      <c r="H281" s="6" t="s">
        <v>463</v>
      </c>
      <c r="I281" s="6"/>
    </row>
    <row r="282" customFormat="false" ht="15" hidden="false" customHeight="false" outlineLevel="0" collapsed="false">
      <c r="A282" s="6" t="s">
        <v>462</v>
      </c>
      <c r="B282" s="6" t="s">
        <v>462</v>
      </c>
      <c r="C282" s="6" t="s">
        <v>303</v>
      </c>
      <c r="D282" s="6" t="s">
        <v>469</v>
      </c>
      <c r="E282" s="6" t="s">
        <v>113</v>
      </c>
      <c r="F282" s="6"/>
      <c r="G282" s="6"/>
      <c r="H282" s="6" t="s">
        <v>463</v>
      </c>
      <c r="I282" s="6"/>
    </row>
    <row r="283" customFormat="false" ht="15" hidden="false" customHeight="false" outlineLevel="0" collapsed="false">
      <c r="A283" s="6" t="s">
        <v>462</v>
      </c>
      <c r="B283" s="6" t="s">
        <v>462</v>
      </c>
      <c r="C283" s="6" t="s">
        <v>303</v>
      </c>
      <c r="D283" s="6" t="s">
        <v>470</v>
      </c>
      <c r="E283" s="6" t="s">
        <v>98</v>
      </c>
      <c r="F283" s="6" t="s">
        <v>172</v>
      </c>
      <c r="G283" s="6" t="s">
        <v>471</v>
      </c>
      <c r="H283" s="6" t="s">
        <v>463</v>
      </c>
      <c r="I283" s="6"/>
    </row>
    <row r="284" customFormat="false" ht="15" hidden="false" customHeight="false" outlineLevel="0" collapsed="false">
      <c r="A284" s="6" t="s">
        <v>472</v>
      </c>
      <c r="B284" s="6" t="s">
        <v>472</v>
      </c>
      <c r="C284" s="6" t="s">
        <v>303</v>
      </c>
      <c r="D284" s="6" t="s">
        <v>473</v>
      </c>
      <c r="E284" s="6" t="s">
        <v>98</v>
      </c>
      <c r="F284" s="6" t="s">
        <v>99</v>
      </c>
      <c r="G284" s="6"/>
      <c r="H284" s="6" t="s">
        <v>474</v>
      </c>
      <c r="I284" s="6"/>
    </row>
    <row r="285" customFormat="false" ht="15" hidden="false" customHeight="false" outlineLevel="0" collapsed="false">
      <c r="A285" s="6" t="s">
        <v>472</v>
      </c>
      <c r="B285" s="6" t="s">
        <v>472</v>
      </c>
      <c r="C285" s="6" t="s">
        <v>303</v>
      </c>
      <c r="D285" s="6" t="s">
        <v>97</v>
      </c>
      <c r="E285" s="6" t="s">
        <v>98</v>
      </c>
      <c r="F285" s="6" t="s">
        <v>172</v>
      </c>
      <c r="G285" s="6"/>
      <c r="H285" s="6" t="s">
        <v>474</v>
      </c>
      <c r="I285" s="6"/>
    </row>
    <row r="286" customFormat="false" ht="15" hidden="false" customHeight="false" outlineLevel="0" collapsed="false">
      <c r="A286" s="6" t="s">
        <v>472</v>
      </c>
      <c r="B286" s="6" t="s">
        <v>472</v>
      </c>
      <c r="C286" s="6" t="s">
        <v>303</v>
      </c>
      <c r="D286" s="6" t="s">
        <v>475</v>
      </c>
      <c r="E286" s="6" t="s">
        <v>98</v>
      </c>
      <c r="F286" s="6"/>
      <c r="G286" s="6" t="s">
        <v>476</v>
      </c>
      <c r="H286" s="6" t="s">
        <v>474</v>
      </c>
      <c r="I286" s="6"/>
    </row>
    <row r="287" customFormat="false" ht="15" hidden="false" customHeight="false" outlineLevel="0" collapsed="false">
      <c r="A287" s="6" t="s">
        <v>472</v>
      </c>
      <c r="B287" s="6" t="s">
        <v>472</v>
      </c>
      <c r="C287" s="6" t="s">
        <v>303</v>
      </c>
      <c r="D287" s="6" t="s">
        <v>477</v>
      </c>
      <c r="E287" s="6" t="s">
        <v>98</v>
      </c>
      <c r="F287" s="6" t="s">
        <v>172</v>
      </c>
      <c r="G287" s="6" t="s">
        <v>478</v>
      </c>
      <c r="H287" s="6" t="s">
        <v>474</v>
      </c>
      <c r="I287" s="6"/>
    </row>
    <row r="288" customFormat="false" ht="15" hidden="false" customHeight="false" outlineLevel="0" collapsed="false">
      <c r="A288" s="6" t="s">
        <v>472</v>
      </c>
      <c r="B288" s="6" t="s">
        <v>472</v>
      </c>
      <c r="C288" s="6" t="s">
        <v>303</v>
      </c>
      <c r="D288" s="6" t="s">
        <v>479</v>
      </c>
      <c r="E288" s="6" t="s">
        <v>98</v>
      </c>
      <c r="F288" s="6"/>
      <c r="G288" s="6"/>
      <c r="H288" s="6" t="s">
        <v>474</v>
      </c>
      <c r="I288" s="6"/>
    </row>
    <row r="289" customFormat="false" ht="15" hidden="false" customHeight="false" outlineLevel="0" collapsed="false">
      <c r="A289" s="6" t="s">
        <v>472</v>
      </c>
      <c r="B289" s="6" t="s">
        <v>472</v>
      </c>
      <c r="C289" s="6" t="s">
        <v>303</v>
      </c>
      <c r="D289" s="6" t="s">
        <v>369</v>
      </c>
      <c r="E289" s="6" t="s">
        <v>119</v>
      </c>
      <c r="F289" s="6"/>
      <c r="G289" s="6"/>
      <c r="H289" s="6" t="s">
        <v>474</v>
      </c>
      <c r="I289" s="6"/>
    </row>
    <row r="290" customFormat="false" ht="15" hidden="false" customHeight="false" outlineLevel="0" collapsed="false">
      <c r="A290" s="6" t="s">
        <v>472</v>
      </c>
      <c r="B290" s="6" t="s">
        <v>472</v>
      </c>
      <c r="C290" s="6" t="s">
        <v>303</v>
      </c>
      <c r="D290" s="6" t="s">
        <v>120</v>
      </c>
      <c r="E290" s="6" t="s">
        <v>98</v>
      </c>
      <c r="F290" s="6"/>
      <c r="G290" s="6" t="s">
        <v>480</v>
      </c>
      <c r="H290" s="6" t="s">
        <v>474</v>
      </c>
      <c r="I290" s="6"/>
    </row>
    <row r="291" customFormat="false" ht="15" hidden="false" customHeight="false" outlineLevel="0" collapsed="false">
      <c r="A291" s="6" t="s">
        <v>472</v>
      </c>
      <c r="B291" s="6" t="s">
        <v>472</v>
      </c>
      <c r="C291" s="6" t="s">
        <v>303</v>
      </c>
      <c r="D291" s="6" t="s">
        <v>481</v>
      </c>
      <c r="E291" s="6" t="s">
        <v>98</v>
      </c>
      <c r="F291" s="6"/>
      <c r="G291" s="6"/>
      <c r="H291" s="6" t="s">
        <v>474</v>
      </c>
      <c r="I291" s="6"/>
    </row>
    <row r="292" customFormat="false" ht="15" hidden="false" customHeight="false" outlineLevel="0" collapsed="false">
      <c r="A292" s="6" t="s">
        <v>472</v>
      </c>
      <c r="B292" s="6" t="s">
        <v>472</v>
      </c>
      <c r="C292" s="6" t="s">
        <v>303</v>
      </c>
      <c r="D292" s="6" t="s">
        <v>482</v>
      </c>
      <c r="E292" s="6" t="s">
        <v>119</v>
      </c>
      <c r="F292" s="6"/>
      <c r="G292" s="6"/>
      <c r="H292" s="6" t="s">
        <v>474</v>
      </c>
      <c r="I292" s="6"/>
    </row>
    <row r="293" customFormat="false" ht="15" hidden="false" customHeight="false" outlineLevel="0" collapsed="false">
      <c r="A293" s="6" t="s">
        <v>483</v>
      </c>
      <c r="B293" s="6" t="s">
        <v>483</v>
      </c>
      <c r="C293" s="6" t="s">
        <v>303</v>
      </c>
      <c r="D293" s="6" t="s">
        <v>470</v>
      </c>
      <c r="E293" s="6" t="s">
        <v>98</v>
      </c>
      <c r="F293" s="6" t="s">
        <v>99</v>
      </c>
      <c r="G293" s="6"/>
      <c r="H293" s="6" t="s">
        <v>484</v>
      </c>
      <c r="I293" s="6"/>
    </row>
    <row r="294" customFormat="false" ht="15" hidden="false" customHeight="false" outlineLevel="0" collapsed="false">
      <c r="A294" s="6" t="s">
        <v>483</v>
      </c>
      <c r="B294" s="6" t="s">
        <v>483</v>
      </c>
      <c r="C294" s="6" t="s">
        <v>303</v>
      </c>
      <c r="D294" s="6" t="s">
        <v>485</v>
      </c>
      <c r="E294" s="6" t="s">
        <v>98</v>
      </c>
      <c r="F294" s="6"/>
      <c r="G294" s="6" t="s">
        <v>486</v>
      </c>
      <c r="H294" s="6" t="s">
        <v>484</v>
      </c>
      <c r="I294" s="6"/>
    </row>
    <row r="295" customFormat="false" ht="15" hidden="false" customHeight="false" outlineLevel="0" collapsed="false">
      <c r="A295" s="6" t="s">
        <v>483</v>
      </c>
      <c r="B295" s="6" t="s">
        <v>483</v>
      </c>
      <c r="C295" s="6" t="s">
        <v>303</v>
      </c>
      <c r="D295" s="6" t="s">
        <v>487</v>
      </c>
      <c r="E295" s="6" t="s">
        <v>98</v>
      </c>
      <c r="F295" s="6"/>
      <c r="G295" s="6" t="s">
        <v>488</v>
      </c>
      <c r="H295" s="6" t="s">
        <v>484</v>
      </c>
      <c r="I295" s="6"/>
    </row>
    <row r="296" customFormat="false" ht="15" hidden="false" customHeight="false" outlineLevel="0" collapsed="false">
      <c r="A296" s="6" t="s">
        <v>483</v>
      </c>
      <c r="B296" s="6" t="s">
        <v>483</v>
      </c>
      <c r="C296" s="6" t="s">
        <v>303</v>
      </c>
      <c r="D296" s="6" t="s">
        <v>489</v>
      </c>
      <c r="E296" s="6" t="s">
        <v>98</v>
      </c>
      <c r="F296" s="6"/>
      <c r="G296" s="6"/>
      <c r="H296" s="6" t="s">
        <v>484</v>
      </c>
      <c r="I296" s="6"/>
    </row>
    <row r="297" customFormat="false" ht="15" hidden="false" customHeight="false" outlineLevel="0" collapsed="false">
      <c r="A297" s="6" t="s">
        <v>483</v>
      </c>
      <c r="B297" s="6" t="s">
        <v>483</v>
      </c>
      <c r="C297" s="6" t="s">
        <v>303</v>
      </c>
      <c r="D297" s="6" t="s">
        <v>490</v>
      </c>
      <c r="E297" s="6" t="s">
        <v>98</v>
      </c>
      <c r="F297" s="6"/>
      <c r="G297" s="6" t="s">
        <v>491</v>
      </c>
      <c r="H297" s="6" t="s">
        <v>484</v>
      </c>
      <c r="I297" s="6"/>
    </row>
    <row r="298" customFormat="false" ht="15" hidden="false" customHeight="false" outlineLevel="0" collapsed="false">
      <c r="A298" s="6" t="s">
        <v>483</v>
      </c>
      <c r="B298" s="6" t="s">
        <v>483</v>
      </c>
      <c r="C298" s="6" t="s">
        <v>303</v>
      </c>
      <c r="D298" s="6" t="s">
        <v>492</v>
      </c>
      <c r="E298" s="6" t="s">
        <v>98</v>
      </c>
      <c r="F298" s="6"/>
      <c r="G298" s="6"/>
      <c r="H298" s="6" t="s">
        <v>484</v>
      </c>
      <c r="I298" s="6"/>
    </row>
    <row r="299" customFormat="false" ht="15" hidden="false" customHeight="false" outlineLevel="0" collapsed="false">
      <c r="A299" s="6" t="s">
        <v>483</v>
      </c>
      <c r="B299" s="6" t="s">
        <v>483</v>
      </c>
      <c r="C299" s="6" t="s">
        <v>303</v>
      </c>
      <c r="D299" s="6" t="s">
        <v>493</v>
      </c>
      <c r="E299" s="6" t="s">
        <v>119</v>
      </c>
      <c r="F299" s="6"/>
      <c r="G299" s="6"/>
      <c r="H299" s="6" t="s">
        <v>484</v>
      </c>
      <c r="I299" s="6"/>
    </row>
    <row r="300" customFormat="false" ht="15" hidden="false" customHeight="false" outlineLevel="0" collapsed="false">
      <c r="A300" s="6" t="s">
        <v>483</v>
      </c>
      <c r="B300" s="6" t="s">
        <v>483</v>
      </c>
      <c r="C300" s="6" t="s">
        <v>303</v>
      </c>
      <c r="D300" s="6" t="s">
        <v>477</v>
      </c>
      <c r="E300" s="6" t="s">
        <v>98</v>
      </c>
      <c r="F300" s="6" t="s">
        <v>172</v>
      </c>
      <c r="G300" s="6"/>
      <c r="H300" s="6" t="s">
        <v>484</v>
      </c>
      <c r="I300" s="6"/>
    </row>
    <row r="301" customFormat="false" ht="15" hidden="false" customHeight="false" outlineLevel="0" collapsed="false">
      <c r="A301" s="6" t="s">
        <v>494</v>
      </c>
      <c r="B301" s="6" t="s">
        <v>494</v>
      </c>
      <c r="C301" s="6" t="s">
        <v>381</v>
      </c>
      <c r="D301" s="6" t="s">
        <v>495</v>
      </c>
      <c r="E301" s="6" t="s">
        <v>98</v>
      </c>
      <c r="F301" s="6" t="s">
        <v>99</v>
      </c>
      <c r="G301" s="6"/>
      <c r="H301" s="6" t="s">
        <v>496</v>
      </c>
      <c r="I301" s="6"/>
    </row>
    <row r="302" customFormat="false" ht="15" hidden="false" customHeight="false" outlineLevel="0" collapsed="false">
      <c r="A302" s="6" t="s">
        <v>494</v>
      </c>
      <c r="B302" s="6" t="s">
        <v>494</v>
      </c>
      <c r="C302" s="6" t="s">
        <v>381</v>
      </c>
      <c r="D302" s="6" t="s">
        <v>497</v>
      </c>
      <c r="E302" s="6" t="s">
        <v>98</v>
      </c>
      <c r="F302" s="6"/>
      <c r="G302" s="6"/>
      <c r="H302" s="6" t="s">
        <v>496</v>
      </c>
      <c r="I302" s="6"/>
    </row>
    <row r="303" customFormat="false" ht="15" hidden="false" customHeight="false" outlineLevel="0" collapsed="false">
      <c r="A303" s="6" t="s">
        <v>494</v>
      </c>
      <c r="B303" s="6" t="s">
        <v>494</v>
      </c>
      <c r="C303" s="6" t="s">
        <v>381</v>
      </c>
      <c r="D303" s="6" t="s">
        <v>292</v>
      </c>
      <c r="E303" s="6" t="s">
        <v>98</v>
      </c>
      <c r="F303" s="6"/>
      <c r="G303" s="6" t="s">
        <v>498</v>
      </c>
      <c r="H303" s="6" t="s">
        <v>496</v>
      </c>
      <c r="I303" s="6"/>
    </row>
    <row r="304" customFormat="false" ht="15" hidden="false" customHeight="false" outlineLevel="0" collapsed="false">
      <c r="A304" s="6" t="s">
        <v>494</v>
      </c>
      <c r="B304" s="6" t="s">
        <v>494</v>
      </c>
      <c r="C304" s="6" t="s">
        <v>381</v>
      </c>
      <c r="D304" s="6" t="s">
        <v>452</v>
      </c>
      <c r="E304" s="6" t="s">
        <v>119</v>
      </c>
      <c r="F304" s="6"/>
      <c r="G304" s="6"/>
      <c r="H304" s="6" t="s">
        <v>496</v>
      </c>
      <c r="I304" s="6"/>
    </row>
    <row r="305" customFormat="false" ht="15" hidden="false" customHeight="false" outlineLevel="0" collapsed="false">
      <c r="A305" s="6" t="s">
        <v>494</v>
      </c>
      <c r="B305" s="6" t="s">
        <v>494</v>
      </c>
      <c r="C305" s="6" t="s">
        <v>381</v>
      </c>
      <c r="D305" s="6" t="s">
        <v>453</v>
      </c>
      <c r="E305" s="6" t="s">
        <v>119</v>
      </c>
      <c r="F305" s="6"/>
      <c r="G305" s="6"/>
      <c r="H305" s="6" t="s">
        <v>496</v>
      </c>
      <c r="I305" s="6"/>
    </row>
    <row r="306" customFormat="false" ht="15" hidden="false" customHeight="false" outlineLevel="0" collapsed="false">
      <c r="A306" s="6" t="s">
        <v>494</v>
      </c>
      <c r="B306" s="6" t="s">
        <v>494</v>
      </c>
      <c r="C306" s="6" t="s">
        <v>381</v>
      </c>
      <c r="D306" s="6" t="s">
        <v>499</v>
      </c>
      <c r="E306" s="6" t="s">
        <v>98</v>
      </c>
      <c r="F306" s="6"/>
      <c r="G306" s="6"/>
      <c r="H306" s="6" t="s">
        <v>496</v>
      </c>
      <c r="I306" s="6"/>
    </row>
    <row r="307" customFormat="false" ht="15" hidden="false" customHeight="false" outlineLevel="0" collapsed="false">
      <c r="A307" s="6" t="s">
        <v>494</v>
      </c>
      <c r="B307" s="6" t="s">
        <v>494</v>
      </c>
      <c r="C307" s="6" t="s">
        <v>381</v>
      </c>
      <c r="D307" s="6" t="s">
        <v>500</v>
      </c>
      <c r="E307" s="6" t="s">
        <v>98</v>
      </c>
      <c r="F307" s="6"/>
      <c r="G307" s="6"/>
      <c r="H307" s="6" t="s">
        <v>496</v>
      </c>
      <c r="I307" s="6"/>
    </row>
    <row r="308" customFormat="false" ht="15" hidden="false" customHeight="false" outlineLevel="0" collapsed="false">
      <c r="A308" s="6" t="s">
        <v>494</v>
      </c>
      <c r="B308" s="6" t="s">
        <v>494</v>
      </c>
      <c r="C308" s="6" t="s">
        <v>381</v>
      </c>
      <c r="D308" s="6" t="s">
        <v>501</v>
      </c>
      <c r="E308" s="6" t="s">
        <v>98</v>
      </c>
      <c r="F308" s="6"/>
      <c r="G308" s="6"/>
      <c r="H308" s="6" t="s">
        <v>496</v>
      </c>
      <c r="I308" s="6"/>
    </row>
    <row r="309" customFormat="false" ht="15" hidden="false" customHeight="false" outlineLevel="0" collapsed="false">
      <c r="A309" s="6" t="s">
        <v>494</v>
      </c>
      <c r="B309" s="6" t="s">
        <v>494</v>
      </c>
      <c r="C309" s="6" t="s">
        <v>381</v>
      </c>
      <c r="D309" s="6" t="s">
        <v>502</v>
      </c>
      <c r="E309" s="6" t="s">
        <v>98</v>
      </c>
      <c r="F309" s="6"/>
      <c r="G309" s="6" t="s">
        <v>503</v>
      </c>
      <c r="H309" s="6" t="s">
        <v>496</v>
      </c>
      <c r="I309" s="6"/>
    </row>
  </sheetData>
  <autoFilter ref="A1:I3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40"/>
    <col collapsed="false" customWidth="true" hidden="false" outlineLevel="0" max="4" min="4" style="0" width="18"/>
    <col collapsed="false" customWidth="true" hidden="false" outlineLevel="0" max="5" min="5" style="0" width="60"/>
    <col collapsed="false" customWidth="true" hidden="false" outlineLevel="0" max="6" min="6" style="0" width="10"/>
    <col collapsed="false" customWidth="true" hidden="false" outlineLevel="0" max="7" min="7" style="0" width="60"/>
  </cols>
  <sheetData>
    <row r="1" customFormat="false" ht="23.85" hidden="false" customHeight="false" outlineLevel="0" collapsed="false">
      <c r="A1" s="5" t="s">
        <v>504</v>
      </c>
      <c r="B1" s="5" t="s">
        <v>90</v>
      </c>
      <c r="C1" s="5" t="s">
        <v>505</v>
      </c>
      <c r="D1" s="5" t="s">
        <v>506</v>
      </c>
      <c r="E1" s="5" t="s">
        <v>507</v>
      </c>
      <c r="F1" s="5" t="s">
        <v>94</v>
      </c>
      <c r="G1" s="5" t="s">
        <v>508</v>
      </c>
    </row>
    <row r="2" customFormat="false" ht="22.35" hidden="false" customHeight="false" outlineLevel="0" collapsed="false">
      <c r="A2" s="6" t="s">
        <v>509</v>
      </c>
      <c r="B2" s="6" t="s">
        <v>510</v>
      </c>
      <c r="C2" s="6" t="s">
        <v>511</v>
      </c>
      <c r="D2" s="6" t="s">
        <v>512</v>
      </c>
      <c r="E2" s="6" t="s">
        <v>513</v>
      </c>
      <c r="F2" s="6" t="s">
        <v>514</v>
      </c>
      <c r="G2" s="6" t="s">
        <v>515</v>
      </c>
    </row>
    <row r="3" customFormat="false" ht="15" hidden="false" customHeight="false" outlineLevel="0" collapsed="false">
      <c r="A3" s="6" t="s">
        <v>516</v>
      </c>
      <c r="B3" s="6" t="s">
        <v>517</v>
      </c>
      <c r="C3" s="6" t="s">
        <v>518</v>
      </c>
      <c r="D3" s="6" t="s">
        <v>519</v>
      </c>
      <c r="E3" s="6" t="s">
        <v>520</v>
      </c>
      <c r="F3" s="6" t="s">
        <v>514</v>
      </c>
      <c r="G3" s="6" t="s">
        <v>521</v>
      </c>
    </row>
    <row r="4" customFormat="false" ht="15" hidden="false" customHeight="false" outlineLevel="0" collapsed="false">
      <c r="A4" s="6" t="s">
        <v>522</v>
      </c>
      <c r="B4" s="6" t="s">
        <v>405</v>
      </c>
      <c r="C4" s="6" t="s">
        <v>523</v>
      </c>
      <c r="D4" s="6" t="s">
        <v>524</v>
      </c>
      <c r="E4" s="6" t="s">
        <v>525</v>
      </c>
      <c r="F4" s="6" t="s">
        <v>526</v>
      </c>
      <c r="G4" s="6" t="s">
        <v>527</v>
      </c>
    </row>
    <row r="5" customFormat="false" ht="22.35" hidden="false" customHeight="false" outlineLevel="0" collapsed="false">
      <c r="A5" s="7" t="s">
        <v>528</v>
      </c>
      <c r="B5" s="7" t="s">
        <v>405</v>
      </c>
      <c r="C5" s="7" t="s">
        <v>529</v>
      </c>
      <c r="D5" s="7" t="s">
        <v>530</v>
      </c>
      <c r="E5" s="7" t="s">
        <v>531</v>
      </c>
      <c r="F5" s="7" t="s">
        <v>154</v>
      </c>
      <c r="G5" s="7" t="s">
        <v>532</v>
      </c>
    </row>
    <row r="6" customFormat="false" ht="22.35" hidden="false" customHeight="false" outlineLevel="0" collapsed="false">
      <c r="A6" s="7" t="s">
        <v>533</v>
      </c>
      <c r="B6" s="7" t="s">
        <v>534</v>
      </c>
      <c r="C6" s="7" t="s">
        <v>535</v>
      </c>
      <c r="D6" s="7" t="s">
        <v>536</v>
      </c>
      <c r="E6" s="7" t="s">
        <v>537</v>
      </c>
      <c r="F6" s="7" t="s">
        <v>154</v>
      </c>
      <c r="G6" s="7" t="s">
        <v>538</v>
      </c>
    </row>
    <row r="7" customFormat="false" ht="22.35" hidden="false" customHeight="false" outlineLevel="0" collapsed="false">
      <c r="A7" s="7" t="s">
        <v>539</v>
      </c>
      <c r="B7" s="7" t="s">
        <v>540</v>
      </c>
      <c r="C7" s="7" t="s">
        <v>541</v>
      </c>
      <c r="D7" s="7" t="s">
        <v>542</v>
      </c>
      <c r="E7" s="7" t="s">
        <v>543</v>
      </c>
      <c r="F7" s="7" t="s">
        <v>154</v>
      </c>
      <c r="G7" s="7" t="s">
        <v>544</v>
      </c>
    </row>
    <row r="8" customFormat="false" ht="15" hidden="false" customHeight="false" outlineLevel="0" collapsed="false">
      <c r="A8" s="6" t="s">
        <v>545</v>
      </c>
      <c r="B8" s="6" t="s">
        <v>546</v>
      </c>
      <c r="C8" s="6" t="s">
        <v>547</v>
      </c>
      <c r="D8" s="6" t="s">
        <v>548</v>
      </c>
      <c r="E8" s="6" t="s">
        <v>414</v>
      </c>
      <c r="F8" s="6" t="s">
        <v>514</v>
      </c>
      <c r="G8" s="6" t="s">
        <v>549</v>
      </c>
    </row>
    <row r="9" customFormat="false" ht="15" hidden="false" customHeight="false" outlineLevel="0" collapsed="false">
      <c r="A9" s="6" t="s">
        <v>426</v>
      </c>
      <c r="B9" s="6" t="s">
        <v>546</v>
      </c>
      <c r="C9" s="6" t="s">
        <v>550</v>
      </c>
      <c r="D9" s="6" t="s">
        <v>548</v>
      </c>
      <c r="E9" s="6" t="s">
        <v>424</v>
      </c>
      <c r="F9" s="6" t="s">
        <v>514</v>
      </c>
      <c r="G9" s="6" t="s">
        <v>551</v>
      </c>
    </row>
    <row r="10" customFormat="false" ht="22.35" hidden="false" customHeight="false" outlineLevel="0" collapsed="false">
      <c r="A10" s="6" t="s">
        <v>552</v>
      </c>
      <c r="B10" s="6" t="s">
        <v>553</v>
      </c>
      <c r="C10" s="6" t="s">
        <v>554</v>
      </c>
      <c r="D10" s="6" t="s">
        <v>555</v>
      </c>
      <c r="E10" s="6" t="s">
        <v>556</v>
      </c>
      <c r="F10" s="6" t="s">
        <v>514</v>
      </c>
      <c r="G10" s="6" t="s">
        <v>557</v>
      </c>
    </row>
    <row r="11" customFormat="false" ht="22.35" hidden="false" customHeight="false" outlineLevel="0" collapsed="false">
      <c r="A11" s="6" t="s">
        <v>558</v>
      </c>
      <c r="B11" s="6" t="s">
        <v>553</v>
      </c>
      <c r="C11" s="6" t="s">
        <v>559</v>
      </c>
      <c r="D11" s="6" t="s">
        <v>560</v>
      </c>
      <c r="E11" s="6" t="s">
        <v>561</v>
      </c>
      <c r="F11" s="6" t="s">
        <v>514</v>
      </c>
      <c r="G11" s="6" t="s">
        <v>562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5"/>
    <col collapsed="false" customWidth="true" hidden="false" outlineLevel="0" max="3" min="3" style="0" width="14"/>
    <col collapsed="false" customWidth="true" hidden="false" outlineLevel="0" max="4" min="4" style="0" width="18"/>
    <col collapsed="false" customWidth="true" hidden="false" outlineLevel="0" max="5" min="5" style="0" width="13"/>
    <col collapsed="false" customWidth="true" hidden="false" outlineLevel="0" max="6" min="6" style="0" width="12"/>
    <col collapsed="false" customWidth="true" hidden="false" outlineLevel="0" max="7" min="7" style="0" width="16"/>
    <col collapsed="false" customWidth="true" hidden="false" outlineLevel="0" max="8" min="8" style="0" width="19"/>
    <col collapsed="false" customWidth="true" hidden="false" outlineLevel="0" max="9" min="9" style="0" width="12"/>
    <col collapsed="false" customWidth="true" hidden="false" outlineLevel="0" max="10" min="10" style="0" width="13"/>
    <col collapsed="false" customWidth="true" hidden="false" outlineLevel="0" max="11" min="11" style="0" width="12"/>
  </cols>
  <sheetData>
    <row r="1" customFormat="false" ht="15" hidden="false" customHeight="false" outlineLevel="0" collapsed="false">
      <c r="A1" s="8" t="s">
        <v>563</v>
      </c>
    </row>
    <row r="2" customFormat="false" ht="15" hidden="false" customHeight="false" outlineLevel="0" collapsed="false">
      <c r="A2" s="9" t="s">
        <v>564</v>
      </c>
    </row>
    <row r="3" customFormat="false" ht="15" hidden="false" customHeight="false" outlineLevel="0" collapsed="false">
      <c r="A3" s="5" t="s">
        <v>97</v>
      </c>
      <c r="B3" s="5" t="s">
        <v>102</v>
      </c>
      <c r="C3" s="5" t="s">
        <v>104</v>
      </c>
      <c r="D3" s="5" t="s">
        <v>106</v>
      </c>
      <c r="E3" s="5" t="s">
        <v>108</v>
      </c>
      <c r="F3" s="5" t="s">
        <v>109</v>
      </c>
      <c r="G3" s="5" t="s">
        <v>110</v>
      </c>
      <c r="H3" s="5" t="s">
        <v>112</v>
      </c>
      <c r="I3" s="5" t="s">
        <v>115</v>
      </c>
      <c r="J3" s="5" t="s">
        <v>118</v>
      </c>
      <c r="K3" s="5" t="s">
        <v>120</v>
      </c>
    </row>
    <row r="4" customFormat="false" ht="15" hidden="false" customHeight="false" outlineLevel="0" collapsed="false">
      <c r="A4" s="10" t="s">
        <v>565</v>
      </c>
      <c r="B4" s="10" t="s">
        <v>566</v>
      </c>
      <c r="C4" s="10" t="s">
        <v>567</v>
      </c>
      <c r="D4" s="10" t="s">
        <v>568</v>
      </c>
      <c r="E4" s="10" t="s">
        <v>569</v>
      </c>
      <c r="F4" s="10" t="s">
        <v>570</v>
      </c>
      <c r="G4" s="10" t="s">
        <v>571</v>
      </c>
      <c r="H4" s="11" t="b">
        <f aca="false">TRUE()</f>
        <v>1</v>
      </c>
      <c r="I4" s="10" t="n">
        <v>9500</v>
      </c>
      <c r="J4" s="10" t="s">
        <v>572</v>
      </c>
      <c r="K4" s="10" t="s">
        <v>573</v>
      </c>
    </row>
    <row r="5" customFormat="false" ht="15" hidden="false" customHeight="false" outlineLevel="0" collapsed="false">
      <c r="A5" s="10" t="s">
        <v>574</v>
      </c>
      <c r="B5" s="10" t="s">
        <v>575</v>
      </c>
      <c r="C5" s="10" t="s">
        <v>567</v>
      </c>
      <c r="D5" s="10" t="s">
        <v>568</v>
      </c>
      <c r="E5" s="10" t="s">
        <v>575</v>
      </c>
      <c r="F5" s="10" t="s">
        <v>570</v>
      </c>
      <c r="G5" s="10" t="s">
        <v>571</v>
      </c>
      <c r="H5" s="11" t="b">
        <f aca="false">TRUE()</f>
        <v>1</v>
      </c>
      <c r="I5" s="10" t="n">
        <v>8200</v>
      </c>
      <c r="J5" s="10" t="s">
        <v>576</v>
      </c>
      <c r="K5" s="10" t="s">
        <v>573</v>
      </c>
    </row>
    <row r="6" customFormat="false" ht="15" hidden="false" customHeight="false" outlineLevel="0" collapsed="false">
      <c r="A6" s="10" t="s">
        <v>577</v>
      </c>
      <c r="B6" s="10" t="s">
        <v>578</v>
      </c>
      <c r="C6" s="10" t="s">
        <v>567</v>
      </c>
      <c r="D6" s="10" t="s">
        <v>568</v>
      </c>
      <c r="E6" s="10" t="s">
        <v>578</v>
      </c>
      <c r="F6" s="10" t="s">
        <v>570</v>
      </c>
      <c r="G6" s="10" t="s">
        <v>571</v>
      </c>
      <c r="H6" s="11" t="b">
        <f aca="false">FALSE()</f>
        <v>0</v>
      </c>
      <c r="I6" s="10" t="n">
        <v>7800</v>
      </c>
      <c r="J6" s="10" t="s">
        <v>579</v>
      </c>
      <c r="K6" s="10" t="s">
        <v>573</v>
      </c>
    </row>
    <row r="7" customFormat="false" ht="15" hidden="false" customHeight="false" outlineLevel="0" collapsed="false">
      <c r="A7" s="10" t="s">
        <v>580</v>
      </c>
      <c r="B7" s="10" t="s">
        <v>581</v>
      </c>
      <c r="C7" s="10" t="s">
        <v>567</v>
      </c>
      <c r="D7" s="10" t="s">
        <v>568</v>
      </c>
      <c r="E7" s="10" t="s">
        <v>581</v>
      </c>
      <c r="F7" s="10" t="s">
        <v>570</v>
      </c>
      <c r="G7" s="10" t="s">
        <v>582</v>
      </c>
      <c r="H7" s="11" t="b">
        <f aca="false">TRUE()</f>
        <v>1</v>
      </c>
      <c r="I7" s="10" t="n">
        <v>7100</v>
      </c>
      <c r="J7" s="10" t="s">
        <v>583</v>
      </c>
      <c r="K7" s="10" t="s">
        <v>573</v>
      </c>
    </row>
    <row r="8" customFormat="false" ht="15" hidden="false" customHeight="false" outlineLevel="0" collapsed="false">
      <c r="A8" s="10" t="s">
        <v>584</v>
      </c>
      <c r="B8" s="10" t="s">
        <v>585</v>
      </c>
      <c r="C8" s="10" t="s">
        <v>567</v>
      </c>
      <c r="D8" s="10" t="s">
        <v>568</v>
      </c>
      <c r="E8" s="10" t="s">
        <v>585</v>
      </c>
      <c r="F8" s="10" t="s">
        <v>570</v>
      </c>
      <c r="G8" s="10" t="s">
        <v>586</v>
      </c>
      <c r="H8" s="11" t="b">
        <f aca="false">TRUE()</f>
        <v>1</v>
      </c>
      <c r="I8" s="10" t="n">
        <v>8900</v>
      </c>
      <c r="J8" s="10" t="s">
        <v>587</v>
      </c>
      <c r="K8" s="10" t="s">
        <v>573</v>
      </c>
    </row>
    <row r="9" customFormat="false" ht="15" hidden="false" customHeight="false" outlineLevel="0" collapsed="false">
      <c r="A9" s="10" t="s">
        <v>588</v>
      </c>
      <c r="B9" s="10" t="s">
        <v>589</v>
      </c>
      <c r="C9" s="10" t="s">
        <v>567</v>
      </c>
      <c r="D9" s="10" t="s">
        <v>568</v>
      </c>
      <c r="E9" s="10" t="s">
        <v>589</v>
      </c>
      <c r="F9" s="10" t="s">
        <v>570</v>
      </c>
      <c r="G9" s="10" t="s">
        <v>586</v>
      </c>
      <c r="H9" s="11" t="b">
        <f aca="false">FALSE()</f>
        <v>0</v>
      </c>
      <c r="I9" s="10" t="n">
        <v>6400</v>
      </c>
      <c r="J9" s="10" t="s">
        <v>590</v>
      </c>
      <c r="K9" s="10" t="s">
        <v>573</v>
      </c>
    </row>
    <row r="10" customFormat="false" ht="15" hidden="false" customHeight="false" outlineLevel="0" collapsed="false">
      <c r="A10" s="10" t="s">
        <v>591</v>
      </c>
      <c r="B10" s="10" t="s">
        <v>592</v>
      </c>
      <c r="C10" s="10" t="s">
        <v>567</v>
      </c>
      <c r="D10" s="10" t="s">
        <v>568</v>
      </c>
      <c r="E10" s="10" t="s">
        <v>592</v>
      </c>
      <c r="F10" s="10" t="s">
        <v>570</v>
      </c>
      <c r="G10" s="10" t="s">
        <v>571</v>
      </c>
      <c r="H10" s="11" t="b">
        <f aca="false">TRUE()</f>
        <v>1</v>
      </c>
      <c r="I10" s="10" t="n">
        <v>8800</v>
      </c>
      <c r="J10" s="10" t="s">
        <v>593</v>
      </c>
      <c r="K10" s="10" t="s">
        <v>573</v>
      </c>
    </row>
    <row r="11" customFormat="false" ht="15" hidden="false" customHeight="false" outlineLevel="0" collapsed="false">
      <c r="A11" s="10" t="s">
        <v>594</v>
      </c>
      <c r="B11" s="10" t="s">
        <v>595</v>
      </c>
      <c r="C11" s="10" t="s">
        <v>567</v>
      </c>
      <c r="D11" s="10" t="s">
        <v>568</v>
      </c>
      <c r="E11" s="10" t="s">
        <v>595</v>
      </c>
      <c r="F11" s="10" t="s">
        <v>570</v>
      </c>
      <c r="G11" s="10" t="s">
        <v>571</v>
      </c>
      <c r="H11" s="11" t="b">
        <f aca="false">FALSE()</f>
        <v>0</v>
      </c>
      <c r="I11" s="10" t="n">
        <v>7600</v>
      </c>
      <c r="J11" s="10" t="s">
        <v>596</v>
      </c>
      <c r="K11" s="10" t="s">
        <v>573</v>
      </c>
    </row>
    <row r="12" customFormat="false" ht="15" hidden="false" customHeight="false" outlineLevel="0" collapsed="false">
      <c r="A12" s="10" t="s">
        <v>597</v>
      </c>
      <c r="B12" s="10" t="s">
        <v>598</v>
      </c>
      <c r="C12" s="10" t="s">
        <v>567</v>
      </c>
      <c r="D12" s="10" t="s">
        <v>599</v>
      </c>
      <c r="E12" s="10" t="s">
        <v>598</v>
      </c>
      <c r="F12" s="10" t="s">
        <v>600</v>
      </c>
      <c r="G12" s="10" t="s">
        <v>601</v>
      </c>
      <c r="H12" s="11" t="b">
        <f aca="false">TRUE()</f>
        <v>1</v>
      </c>
      <c r="I12" s="10" t="n">
        <v>9100</v>
      </c>
      <c r="J12" s="10" t="s">
        <v>602</v>
      </c>
      <c r="K12" s="10" t="s">
        <v>573</v>
      </c>
    </row>
    <row r="13" customFormat="false" ht="15" hidden="false" customHeight="false" outlineLevel="0" collapsed="false">
      <c r="A13" s="10" t="s">
        <v>603</v>
      </c>
      <c r="B13" s="10" t="s">
        <v>604</v>
      </c>
      <c r="C13" s="10" t="s">
        <v>567</v>
      </c>
      <c r="D13" s="10" t="s">
        <v>599</v>
      </c>
      <c r="E13" s="10" t="s">
        <v>604</v>
      </c>
      <c r="F13" s="10" t="s">
        <v>600</v>
      </c>
      <c r="G13" s="10" t="s">
        <v>601</v>
      </c>
      <c r="H13" s="11" t="b">
        <f aca="false">TRUE()</f>
        <v>1</v>
      </c>
      <c r="I13" s="10" t="n">
        <v>8500</v>
      </c>
      <c r="J13" s="10" t="s">
        <v>605</v>
      </c>
      <c r="K13" s="10" t="s">
        <v>573</v>
      </c>
    </row>
    <row r="14" customFormat="false" ht="15" hidden="false" customHeight="false" outlineLevel="0" collapsed="false">
      <c r="A14" s="10" t="s">
        <v>606</v>
      </c>
      <c r="B14" s="10" t="s">
        <v>607</v>
      </c>
      <c r="C14" s="10" t="s">
        <v>608</v>
      </c>
      <c r="D14" s="10" t="s">
        <v>568</v>
      </c>
      <c r="E14" s="10" t="s">
        <v>569</v>
      </c>
      <c r="F14" s="10" t="s">
        <v>570</v>
      </c>
      <c r="G14" s="10" t="s">
        <v>571</v>
      </c>
      <c r="H14" s="11" t="b">
        <f aca="false">FALSE()</f>
        <v>0</v>
      </c>
      <c r="I14" s="10" t="n">
        <v>15000</v>
      </c>
      <c r="J14" s="10" t="s">
        <v>572</v>
      </c>
      <c r="K14" s="10" t="s">
        <v>573</v>
      </c>
    </row>
    <row r="15" customFormat="false" ht="15" hidden="false" customHeight="false" outlineLevel="0" collapsed="false">
      <c r="A15" s="10" t="s">
        <v>609</v>
      </c>
      <c r="B15" s="10" t="s">
        <v>610</v>
      </c>
      <c r="C15" s="10" t="s">
        <v>611</v>
      </c>
      <c r="D15" s="10" t="s">
        <v>568</v>
      </c>
      <c r="E15" s="10" t="s">
        <v>612</v>
      </c>
      <c r="F15" s="10" t="s">
        <v>570</v>
      </c>
      <c r="G15" s="10" t="s">
        <v>571</v>
      </c>
      <c r="H15" s="11" t="b">
        <f aca="false">FALSE()</f>
        <v>0</v>
      </c>
      <c r="I15" s="10" t="n">
        <v>400</v>
      </c>
      <c r="J15" s="10" t="s">
        <v>613</v>
      </c>
      <c r="K15" s="10"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29"/>
    <col collapsed="false" customWidth="true" hidden="false" outlineLevel="0" max="3" min="3" style="0" width="22"/>
    <col collapsed="false" customWidth="true" hidden="false" outlineLevel="0" max="4" min="4" style="0" width="18"/>
    <col collapsed="false" customWidth="true" hidden="false" outlineLevel="0" max="5" min="5" style="0" width="15"/>
    <col collapsed="false" customWidth="true" hidden="false" outlineLevel="0" max="6" min="6" style="0" width="25"/>
    <col collapsed="false" customWidth="true" hidden="false" outlineLevel="0" max="7" min="7" style="0" width="17"/>
    <col collapsed="false" customWidth="true" hidden="false" outlineLevel="0" max="8" min="8" style="0" width="13"/>
    <col collapsed="false" customWidth="true" hidden="false" outlineLevel="0" max="9" min="9" style="0" width="28"/>
    <col collapsed="false" customWidth="true" hidden="false" outlineLevel="0" max="10" min="10" style="0" width="12"/>
  </cols>
  <sheetData>
    <row r="1" customFormat="false" ht="15" hidden="false" customHeight="false" outlineLevel="0" collapsed="false">
      <c r="A1" s="8" t="s">
        <v>614</v>
      </c>
    </row>
    <row r="2" customFormat="false" ht="15" hidden="false" customHeight="false" outlineLevel="0" collapsed="false">
      <c r="A2" s="9" t="s">
        <v>615</v>
      </c>
    </row>
    <row r="3" customFormat="false" ht="15" hidden="false" customHeight="false" outlineLevel="0" collapsed="false">
      <c r="A3" s="5" t="s">
        <v>123</v>
      </c>
      <c r="B3" s="5" t="s">
        <v>125</v>
      </c>
      <c r="C3" s="5" t="s">
        <v>126</v>
      </c>
      <c r="D3" s="5" t="s">
        <v>128</v>
      </c>
      <c r="E3" s="5" t="s">
        <v>130</v>
      </c>
      <c r="F3" s="5" t="s">
        <v>132</v>
      </c>
      <c r="G3" s="5" t="s">
        <v>134</v>
      </c>
      <c r="H3" s="5" t="s">
        <v>136</v>
      </c>
      <c r="I3" s="5" t="s">
        <v>137</v>
      </c>
      <c r="J3" s="5" t="s">
        <v>120</v>
      </c>
    </row>
    <row r="4" customFormat="false" ht="15" hidden="false" customHeight="false" outlineLevel="0" collapsed="false">
      <c r="A4" s="10" t="s">
        <v>616</v>
      </c>
      <c r="B4" s="10" t="s">
        <v>617</v>
      </c>
      <c r="C4" s="10"/>
      <c r="D4" s="10" t="s">
        <v>618</v>
      </c>
      <c r="E4" s="11" t="b">
        <f aca="false">TRUE()</f>
        <v>1</v>
      </c>
      <c r="F4" s="10" t="s">
        <v>619</v>
      </c>
      <c r="G4" s="10" t="s">
        <v>620</v>
      </c>
      <c r="H4" s="10" t="s">
        <v>621</v>
      </c>
      <c r="I4" s="10" t="s">
        <v>622</v>
      </c>
      <c r="J4" s="10" t="s">
        <v>573</v>
      </c>
    </row>
    <row r="5" customFormat="false" ht="15" hidden="false" customHeight="false" outlineLevel="0" collapsed="false">
      <c r="A5" s="10" t="s">
        <v>623</v>
      </c>
      <c r="B5" s="10" t="s">
        <v>624</v>
      </c>
      <c r="C5" s="10" t="s">
        <v>624</v>
      </c>
      <c r="D5" s="10" t="s">
        <v>618</v>
      </c>
      <c r="E5" s="11" t="b">
        <f aca="false">TRUE()</f>
        <v>1</v>
      </c>
      <c r="F5" s="10" t="s">
        <v>625</v>
      </c>
      <c r="G5" s="10" t="s">
        <v>620</v>
      </c>
      <c r="H5" s="10" t="s">
        <v>626</v>
      </c>
      <c r="I5" s="10" t="s">
        <v>627</v>
      </c>
      <c r="J5" s="10" t="s">
        <v>573</v>
      </c>
    </row>
    <row r="6" customFormat="false" ht="15" hidden="false" customHeight="false" outlineLevel="0" collapsed="false">
      <c r="A6" s="10" t="s">
        <v>628</v>
      </c>
      <c r="B6" s="10" t="s">
        <v>629</v>
      </c>
      <c r="C6" s="10" t="s">
        <v>630</v>
      </c>
      <c r="D6" s="10" t="s">
        <v>618</v>
      </c>
      <c r="E6" s="11" t="b">
        <f aca="false">TRUE()</f>
        <v>1</v>
      </c>
      <c r="F6" s="10" t="s">
        <v>631</v>
      </c>
      <c r="G6" s="10" t="s">
        <v>632</v>
      </c>
      <c r="H6" s="10" t="s">
        <v>633</v>
      </c>
      <c r="I6" s="10" t="s">
        <v>634</v>
      </c>
      <c r="J6" s="10" t="s">
        <v>573</v>
      </c>
    </row>
    <row r="7" customFormat="false" ht="15" hidden="false" customHeight="false" outlineLevel="0" collapsed="false">
      <c r="A7" s="10" t="s">
        <v>635</v>
      </c>
      <c r="B7" s="10" t="s">
        <v>636</v>
      </c>
      <c r="C7" s="10" t="s">
        <v>630</v>
      </c>
      <c r="D7" s="10" t="s">
        <v>637</v>
      </c>
      <c r="E7" s="11" t="b">
        <f aca="false">TRUE()</f>
        <v>1</v>
      </c>
      <c r="F7" s="10" t="s">
        <v>638</v>
      </c>
      <c r="G7" s="10" t="s">
        <v>632</v>
      </c>
      <c r="H7" s="10" t="s">
        <v>639</v>
      </c>
      <c r="I7" s="10" t="s">
        <v>640</v>
      </c>
      <c r="J7" s="10" t="s">
        <v>573</v>
      </c>
    </row>
    <row r="8" customFormat="false" ht="15" hidden="false" customHeight="false" outlineLevel="0" collapsed="false">
      <c r="A8" s="10" t="s">
        <v>641</v>
      </c>
      <c r="B8" s="10" t="s">
        <v>642</v>
      </c>
      <c r="C8" s="10"/>
      <c r="D8" s="10" t="s">
        <v>637</v>
      </c>
      <c r="E8" s="11" t="b">
        <f aca="false">TRUE()</f>
        <v>1</v>
      </c>
      <c r="F8" s="10" t="s">
        <v>643</v>
      </c>
      <c r="G8" s="10" t="s">
        <v>632</v>
      </c>
      <c r="H8" s="10" t="s">
        <v>644</v>
      </c>
      <c r="I8" s="10" t="s">
        <v>645</v>
      </c>
      <c r="J8" s="10" t="s">
        <v>573</v>
      </c>
    </row>
    <row r="9" customFormat="false" ht="15" hidden="false" customHeight="false" outlineLevel="0" collapsed="false">
      <c r="A9" s="10" t="s">
        <v>646</v>
      </c>
      <c r="B9" s="10" t="s">
        <v>647</v>
      </c>
      <c r="C9" s="10"/>
      <c r="D9" s="10" t="s">
        <v>637</v>
      </c>
      <c r="E9" s="11" t="b">
        <f aca="false">TRUE()</f>
        <v>1</v>
      </c>
      <c r="F9" s="10" t="s">
        <v>638</v>
      </c>
      <c r="G9" s="10" t="s">
        <v>632</v>
      </c>
      <c r="H9" s="10" t="s">
        <v>648</v>
      </c>
      <c r="I9" s="10" t="s">
        <v>649</v>
      </c>
      <c r="J9" s="10" t="s">
        <v>573</v>
      </c>
    </row>
    <row r="10" customFormat="false" ht="15" hidden="false" customHeight="false" outlineLevel="0" collapsed="false">
      <c r="A10" s="10" t="s">
        <v>650</v>
      </c>
      <c r="B10" s="10" t="s">
        <v>651</v>
      </c>
      <c r="C10" s="10"/>
      <c r="D10" s="10" t="s">
        <v>637</v>
      </c>
      <c r="E10" s="11" t="b">
        <f aca="false">FALSE()</f>
        <v>0</v>
      </c>
      <c r="F10" s="10" t="s">
        <v>652</v>
      </c>
      <c r="G10" s="10" t="s">
        <v>653</v>
      </c>
      <c r="H10" s="10" t="s">
        <v>654</v>
      </c>
      <c r="I10" s="10" t="s">
        <v>655</v>
      </c>
      <c r="J10" s="10" t="s">
        <v>573</v>
      </c>
    </row>
    <row r="11" customFormat="false" ht="15" hidden="false" customHeight="false" outlineLevel="0" collapsed="false">
      <c r="A11" s="10" t="s">
        <v>656</v>
      </c>
      <c r="B11" s="10" t="s">
        <v>657</v>
      </c>
      <c r="C11" s="10"/>
      <c r="D11" s="10" t="s">
        <v>637</v>
      </c>
      <c r="E11" s="11" t="b">
        <f aca="false">TRUE()</f>
        <v>1</v>
      </c>
      <c r="F11" s="10" t="s">
        <v>638</v>
      </c>
      <c r="G11" s="10" t="s">
        <v>658</v>
      </c>
      <c r="H11" s="10" t="s">
        <v>659</v>
      </c>
      <c r="I11" s="10" t="s">
        <v>660</v>
      </c>
      <c r="J11" s="10" t="s">
        <v>573</v>
      </c>
    </row>
    <row r="12" customFormat="false" ht="15" hidden="false" customHeight="false" outlineLevel="0" collapsed="false">
      <c r="A12" s="10" t="s">
        <v>661</v>
      </c>
      <c r="B12" s="10" t="s">
        <v>662</v>
      </c>
      <c r="C12" s="10" t="s">
        <v>663</v>
      </c>
      <c r="D12" s="10" t="s">
        <v>637</v>
      </c>
      <c r="E12" s="11" t="b">
        <f aca="false">TRUE()</f>
        <v>1</v>
      </c>
      <c r="F12" s="10" t="s">
        <v>643</v>
      </c>
      <c r="G12" s="10" t="s">
        <v>632</v>
      </c>
      <c r="H12" s="10" t="s">
        <v>664</v>
      </c>
      <c r="I12" s="10" t="s">
        <v>665</v>
      </c>
      <c r="J12" s="10" t="s">
        <v>573</v>
      </c>
    </row>
    <row r="13" customFormat="false" ht="15" hidden="false" customHeight="false" outlineLevel="0" collapsed="false">
      <c r="A13" s="10" t="s">
        <v>666</v>
      </c>
      <c r="B13" s="10" t="s">
        <v>667</v>
      </c>
      <c r="C13" s="10" t="s">
        <v>668</v>
      </c>
      <c r="D13" s="10" t="s">
        <v>637</v>
      </c>
      <c r="E13" s="11" t="b">
        <f aca="false">TRUE()</f>
        <v>1</v>
      </c>
      <c r="F13" s="10" t="s">
        <v>638</v>
      </c>
      <c r="G13" s="10" t="s">
        <v>632</v>
      </c>
      <c r="H13" s="10" t="s">
        <v>669</v>
      </c>
      <c r="I13" s="10" t="s">
        <v>670</v>
      </c>
      <c r="J13" s="10" t="s">
        <v>573</v>
      </c>
    </row>
    <row r="14" customFormat="false" ht="15" hidden="false" customHeight="false" outlineLevel="0" collapsed="false">
      <c r="A14" s="10" t="s">
        <v>671</v>
      </c>
      <c r="B14" s="10" t="s">
        <v>672</v>
      </c>
      <c r="C14" s="10"/>
      <c r="D14" s="10" t="s">
        <v>673</v>
      </c>
      <c r="E14" s="11" t="b">
        <f aca="false">FALSE()</f>
        <v>0</v>
      </c>
      <c r="F14" s="10" t="s">
        <v>674</v>
      </c>
      <c r="G14" s="10" t="s">
        <v>658</v>
      </c>
      <c r="H14" s="10" t="s">
        <v>675</v>
      </c>
      <c r="I14" s="10" t="s">
        <v>676</v>
      </c>
      <c r="J14" s="10" t="s">
        <v>573</v>
      </c>
    </row>
    <row r="15" customFormat="false" ht="15" hidden="false" customHeight="false" outlineLevel="0" collapsed="false">
      <c r="A15" s="10" t="s">
        <v>677</v>
      </c>
      <c r="B15" s="10" t="s">
        <v>678</v>
      </c>
      <c r="C15" s="10"/>
      <c r="D15" s="10" t="s">
        <v>637</v>
      </c>
      <c r="E15" s="11" t="b">
        <f aca="false">TRUE()</f>
        <v>1</v>
      </c>
      <c r="F15" s="10" t="s">
        <v>638</v>
      </c>
      <c r="G15" s="10" t="s">
        <v>632</v>
      </c>
      <c r="H15" s="10" t="s">
        <v>679</v>
      </c>
      <c r="I15" s="10" t="s">
        <v>680</v>
      </c>
      <c r="J15" s="10" t="s">
        <v>573</v>
      </c>
    </row>
    <row r="16" customFormat="false" ht="15" hidden="false" customHeight="false" outlineLevel="0" collapsed="false">
      <c r="A16" s="10" t="s">
        <v>681</v>
      </c>
      <c r="B16" s="10" t="s">
        <v>682</v>
      </c>
      <c r="C16" s="10"/>
      <c r="D16" s="10" t="s">
        <v>673</v>
      </c>
      <c r="E16" s="11" t="b">
        <f aca="false">FALSE()</f>
        <v>0</v>
      </c>
      <c r="F16" s="10" t="s">
        <v>674</v>
      </c>
      <c r="G16" s="10" t="s">
        <v>658</v>
      </c>
      <c r="H16" s="10" t="s">
        <v>683</v>
      </c>
      <c r="I16" s="10" t="s">
        <v>684</v>
      </c>
      <c r="J16" s="10"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4" min="3" style="0" width="12"/>
    <col collapsed="false" customWidth="true" hidden="false" outlineLevel="0" max="5" min="5" style="0" width="13"/>
    <col collapsed="false" customWidth="true" hidden="false" outlineLevel="0" max="6" min="6" style="0" width="22"/>
    <col collapsed="false" customWidth="true" hidden="false" outlineLevel="0" max="7" min="7" style="0" width="13"/>
    <col collapsed="false" customWidth="true" hidden="false" outlineLevel="0" max="8" min="8" style="0" width="23"/>
  </cols>
  <sheetData>
    <row r="1" customFormat="false" ht="15" hidden="false" customHeight="false" outlineLevel="0" collapsed="false">
      <c r="A1" s="8" t="s">
        <v>685</v>
      </c>
    </row>
    <row r="2" customFormat="false" ht="15" hidden="false" customHeight="false" outlineLevel="0" collapsed="false">
      <c r="A2" s="9" t="s">
        <v>686</v>
      </c>
    </row>
    <row r="3" customFormat="false" ht="15" hidden="false" customHeight="false" outlineLevel="0" collapsed="false">
      <c r="A3" s="5" t="s">
        <v>123</v>
      </c>
      <c r="B3" s="5" t="s">
        <v>141</v>
      </c>
      <c r="C3" s="5" t="s">
        <v>142</v>
      </c>
      <c r="D3" s="5" t="s">
        <v>143</v>
      </c>
      <c r="E3" s="5" t="s">
        <v>146</v>
      </c>
      <c r="F3" s="5" t="s">
        <v>147</v>
      </c>
      <c r="G3" s="5" t="s">
        <v>148</v>
      </c>
      <c r="H3" s="5" t="s">
        <v>149</v>
      </c>
    </row>
    <row r="4" customFormat="false" ht="15" hidden="false" customHeight="false" outlineLevel="0" collapsed="false">
      <c r="A4" s="10" t="s">
        <v>616</v>
      </c>
      <c r="B4" s="10" t="s">
        <v>687</v>
      </c>
      <c r="C4" s="10" t="n">
        <v>60</v>
      </c>
      <c r="D4" s="10" t="n">
        <v>0.02</v>
      </c>
      <c r="E4" s="10" t="n">
        <v>10</v>
      </c>
      <c r="F4" s="10" t="s">
        <v>688</v>
      </c>
      <c r="G4" s="10" t="s">
        <v>689</v>
      </c>
      <c r="H4" s="10" t="n">
        <v>2500</v>
      </c>
    </row>
    <row r="5" customFormat="false" ht="15" hidden="false" customHeight="false" outlineLevel="0" collapsed="false">
      <c r="A5" s="10" t="s">
        <v>623</v>
      </c>
      <c r="B5" s="10" t="s">
        <v>690</v>
      </c>
      <c r="C5" s="10" t="n">
        <v>60</v>
      </c>
      <c r="D5" s="10" t="n">
        <v>0</v>
      </c>
      <c r="E5" s="10" t="n">
        <v>0</v>
      </c>
      <c r="F5" s="10" t="s">
        <v>688</v>
      </c>
      <c r="G5" s="10" t="s">
        <v>689</v>
      </c>
      <c r="H5" s="10" t="n">
        <v>3000</v>
      </c>
    </row>
    <row r="6" customFormat="false" ht="15" hidden="false" customHeight="false" outlineLevel="0" collapsed="false">
      <c r="A6" s="10" t="s">
        <v>628</v>
      </c>
      <c r="B6" s="10" t="s">
        <v>691</v>
      </c>
      <c r="C6" s="10" t="n">
        <v>45</v>
      </c>
      <c r="D6" s="10" t="n">
        <v>0</v>
      </c>
      <c r="E6" s="10" t="n">
        <v>0</v>
      </c>
      <c r="F6" s="10" t="s">
        <v>688</v>
      </c>
      <c r="G6" s="10" t="s">
        <v>689</v>
      </c>
      <c r="H6" s="10" t="n">
        <v>2000</v>
      </c>
    </row>
    <row r="7" customFormat="false" ht="15" hidden="false" customHeight="false" outlineLevel="0" collapsed="false">
      <c r="A7" s="10" t="s">
        <v>635</v>
      </c>
      <c r="B7" s="10" t="s">
        <v>691</v>
      </c>
      <c r="C7" s="10" t="n">
        <v>45</v>
      </c>
      <c r="D7" s="10" t="n">
        <v>0</v>
      </c>
      <c r="E7" s="10" t="n">
        <v>0</v>
      </c>
      <c r="F7" s="10" t="s">
        <v>692</v>
      </c>
      <c r="G7" s="10" t="s">
        <v>689</v>
      </c>
      <c r="H7" s="10" t="n">
        <v>2500</v>
      </c>
    </row>
    <row r="8" customFormat="false" ht="15" hidden="false" customHeight="false" outlineLevel="0" collapsed="false">
      <c r="A8" s="10" t="s">
        <v>641</v>
      </c>
      <c r="B8" s="10" t="s">
        <v>693</v>
      </c>
      <c r="C8" s="10" t="n">
        <v>45</v>
      </c>
      <c r="D8" s="10" t="n">
        <v>0.02</v>
      </c>
      <c r="E8" s="10" t="n">
        <v>10</v>
      </c>
      <c r="F8" s="10" t="s">
        <v>688</v>
      </c>
      <c r="G8" s="10" t="s">
        <v>689</v>
      </c>
      <c r="H8" s="10" t="n">
        <v>1500</v>
      </c>
    </row>
    <row r="9" customFormat="false" ht="15" hidden="false" customHeight="false" outlineLevel="0" collapsed="false">
      <c r="A9" s="10" t="s">
        <v>646</v>
      </c>
      <c r="B9" s="10" t="s">
        <v>694</v>
      </c>
      <c r="C9" s="10" t="n">
        <v>30</v>
      </c>
      <c r="D9" s="10" t="n">
        <v>0</v>
      </c>
      <c r="E9" s="10" t="n">
        <v>0</v>
      </c>
      <c r="F9" s="10" t="s">
        <v>688</v>
      </c>
      <c r="G9" s="10" t="s">
        <v>689</v>
      </c>
      <c r="H9" s="10" t="n">
        <v>1200</v>
      </c>
    </row>
    <row r="10" customFormat="false" ht="15" hidden="false" customHeight="false" outlineLevel="0" collapsed="false">
      <c r="A10" s="10" t="s">
        <v>650</v>
      </c>
      <c r="B10" s="10" t="s">
        <v>694</v>
      </c>
      <c r="C10" s="10" t="n">
        <v>30</v>
      </c>
      <c r="D10" s="10" t="n">
        <v>0</v>
      </c>
      <c r="E10" s="10" t="n">
        <v>0</v>
      </c>
      <c r="F10" s="10" t="s">
        <v>695</v>
      </c>
      <c r="G10" s="10" t="s">
        <v>696</v>
      </c>
      <c r="H10" s="10" t="n">
        <v>0</v>
      </c>
    </row>
    <row r="11" customFormat="false" ht="15" hidden="false" customHeight="false" outlineLevel="0" collapsed="false">
      <c r="A11" s="10" t="s">
        <v>656</v>
      </c>
      <c r="B11" s="10" t="s">
        <v>694</v>
      </c>
      <c r="C11" s="10" t="n">
        <v>30</v>
      </c>
      <c r="D11" s="10" t="n">
        <v>0</v>
      </c>
      <c r="E11" s="10" t="n">
        <v>0</v>
      </c>
      <c r="F11" s="10" t="s">
        <v>692</v>
      </c>
      <c r="G11" s="10" t="s">
        <v>689</v>
      </c>
      <c r="H11" s="10" t="n">
        <v>1000</v>
      </c>
    </row>
    <row r="12" customFormat="false" ht="15" hidden="false" customHeight="false" outlineLevel="0" collapsed="false">
      <c r="A12" s="10" t="s">
        <v>661</v>
      </c>
      <c r="B12" s="10" t="s">
        <v>697</v>
      </c>
      <c r="C12" s="10" t="n">
        <v>30</v>
      </c>
      <c r="D12" s="10" t="n">
        <v>0.01</v>
      </c>
      <c r="E12" s="10" t="n">
        <v>10</v>
      </c>
      <c r="F12" s="10" t="s">
        <v>688</v>
      </c>
      <c r="G12" s="10" t="s">
        <v>689</v>
      </c>
      <c r="H12" s="10" t="n">
        <v>1500</v>
      </c>
    </row>
    <row r="13" customFormat="false" ht="15" hidden="false" customHeight="false" outlineLevel="0" collapsed="false">
      <c r="A13" s="10" t="s">
        <v>671</v>
      </c>
      <c r="B13" s="10" t="s">
        <v>694</v>
      </c>
      <c r="C13" s="10" t="n">
        <v>30</v>
      </c>
      <c r="D13" s="10" t="n">
        <v>0</v>
      </c>
      <c r="E13" s="10" t="n">
        <v>0</v>
      </c>
      <c r="F13" s="10" t="s">
        <v>692</v>
      </c>
      <c r="G13" s="10" t="s">
        <v>689</v>
      </c>
      <c r="H13" s="10" t="n">
        <v>500</v>
      </c>
    </row>
    <row r="14" customFormat="false" ht="15" hidden="false" customHeight="false" outlineLevel="0" collapsed="false">
      <c r="A14" s="10" t="s">
        <v>681</v>
      </c>
      <c r="B14" s="10" t="s">
        <v>698</v>
      </c>
      <c r="C14" s="10" t="n">
        <v>15</v>
      </c>
      <c r="D14" s="10" t="n">
        <v>0</v>
      </c>
      <c r="E14" s="10" t="n">
        <v>0</v>
      </c>
      <c r="F14" s="10" t="s">
        <v>692</v>
      </c>
      <c r="G14" s="10" t="s">
        <v>689</v>
      </c>
      <c r="H14" s="10" t="n">
        <v>250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3"/>
    <col collapsed="false" customWidth="true" hidden="false" outlineLevel="0" max="3" min="3" style="0" width="20"/>
    <col collapsed="false" customWidth="true" hidden="false" outlineLevel="0" max="5" min="4" style="0" width="24"/>
    <col collapsed="false" customWidth="true" hidden="false" outlineLevel="0" max="6" min="6" style="0" width="17"/>
    <col collapsed="false" customWidth="true" hidden="false" outlineLevel="0" max="7" min="7" style="0" width="13"/>
    <col collapsed="false" customWidth="true" hidden="false" outlineLevel="0" max="8" min="8" style="0" width="15"/>
  </cols>
  <sheetData>
    <row r="1" customFormat="false" ht="15" hidden="false" customHeight="false" outlineLevel="0" collapsed="false">
      <c r="A1" s="8" t="s">
        <v>699</v>
      </c>
    </row>
    <row r="2" customFormat="false" ht="15" hidden="false" customHeight="false" outlineLevel="0" collapsed="false">
      <c r="A2" s="9" t="s">
        <v>700</v>
      </c>
    </row>
    <row r="3" customFormat="false" ht="15" hidden="false" customHeight="false" outlineLevel="0" collapsed="false">
      <c r="A3" s="5" t="s">
        <v>123</v>
      </c>
      <c r="B3" s="5" t="s">
        <v>155</v>
      </c>
      <c r="C3" s="5" t="s">
        <v>157</v>
      </c>
      <c r="D3" s="5" t="s">
        <v>159</v>
      </c>
      <c r="E3" s="5" t="s">
        <v>161</v>
      </c>
      <c r="F3" s="5" t="s">
        <v>163</v>
      </c>
      <c r="G3" s="5" t="s">
        <v>165</v>
      </c>
      <c r="H3" s="5" t="s">
        <v>167</v>
      </c>
    </row>
    <row r="4" customFormat="false" ht="15" hidden="false" customHeight="false" outlineLevel="0" collapsed="false">
      <c r="A4" s="10" t="s">
        <v>616</v>
      </c>
      <c r="B4" s="10" t="s">
        <v>701</v>
      </c>
      <c r="C4" s="10" t="n">
        <v>14</v>
      </c>
      <c r="D4" s="10" t="n">
        <v>12</v>
      </c>
      <c r="E4" s="10" t="n">
        <v>21</v>
      </c>
      <c r="F4" s="10" t="n">
        <v>0.94</v>
      </c>
      <c r="G4" s="10" t="n">
        <v>24</v>
      </c>
      <c r="H4" s="10" t="s">
        <v>702</v>
      </c>
    </row>
    <row r="5" customFormat="false" ht="15" hidden="false" customHeight="false" outlineLevel="0" collapsed="false">
      <c r="A5" s="10" t="s">
        <v>616</v>
      </c>
      <c r="B5" s="10" t="s">
        <v>703</v>
      </c>
      <c r="C5" s="10" t="n">
        <v>14</v>
      </c>
      <c r="D5" s="10" t="n">
        <v>15</v>
      </c>
      <c r="E5" s="10" t="n">
        <v>28</v>
      </c>
      <c r="F5" s="10" t="n">
        <v>0.9</v>
      </c>
      <c r="G5" s="10" t="n">
        <v>12</v>
      </c>
      <c r="H5" s="10" t="s">
        <v>702</v>
      </c>
    </row>
    <row r="6" customFormat="false" ht="15" hidden="false" customHeight="false" outlineLevel="0" collapsed="false">
      <c r="A6" s="10" t="s">
        <v>623</v>
      </c>
      <c r="B6" s="10" t="s">
        <v>704</v>
      </c>
      <c r="C6" s="10" t="n">
        <v>21</v>
      </c>
      <c r="D6" s="10" t="n">
        <v>24</v>
      </c>
      <c r="E6" s="10" t="n">
        <v>38</v>
      </c>
      <c r="F6" s="10" t="n">
        <v>0.88</v>
      </c>
      <c r="G6" s="10" t="n">
        <v>6</v>
      </c>
      <c r="H6" s="10" t="s">
        <v>702</v>
      </c>
    </row>
    <row r="7" customFormat="false" ht="15" hidden="false" customHeight="false" outlineLevel="0" collapsed="false">
      <c r="A7" s="10" t="s">
        <v>628</v>
      </c>
      <c r="B7" s="10" t="s">
        <v>704</v>
      </c>
      <c r="C7" s="10" t="n">
        <v>21</v>
      </c>
      <c r="D7" s="10" t="n">
        <v>19</v>
      </c>
      <c r="E7" s="10" t="n">
        <v>30</v>
      </c>
      <c r="F7" s="10" t="n">
        <v>0.91</v>
      </c>
      <c r="G7" s="10" t="n">
        <v>6</v>
      </c>
      <c r="H7" s="10" t="s">
        <v>702</v>
      </c>
    </row>
    <row r="8" customFormat="false" ht="15" hidden="false" customHeight="false" outlineLevel="0" collapsed="false">
      <c r="A8" s="10" t="s">
        <v>635</v>
      </c>
      <c r="B8" s="10" t="s">
        <v>701</v>
      </c>
      <c r="C8" s="10" t="n">
        <v>18</v>
      </c>
      <c r="D8" s="10" t="n">
        <v>22</v>
      </c>
      <c r="E8" s="10" t="n">
        <v>35</v>
      </c>
      <c r="F8" s="10" t="n">
        <v>0.85</v>
      </c>
      <c r="G8" s="10" t="n">
        <v>24</v>
      </c>
      <c r="H8" s="10" t="s">
        <v>702</v>
      </c>
    </row>
    <row r="9" customFormat="false" ht="15" hidden="false" customHeight="false" outlineLevel="0" collapsed="false">
      <c r="A9" s="10" t="s">
        <v>641</v>
      </c>
      <c r="B9" s="10" t="s">
        <v>704</v>
      </c>
      <c r="C9" s="10" t="n">
        <v>28</v>
      </c>
      <c r="D9" s="10" t="n">
        <v>26</v>
      </c>
      <c r="E9" s="10" t="n">
        <v>42</v>
      </c>
      <c r="F9" s="10" t="n">
        <v>0.9</v>
      </c>
      <c r="G9" s="10" t="n">
        <v>6</v>
      </c>
      <c r="H9" s="10" t="s">
        <v>702</v>
      </c>
    </row>
    <row r="10" customFormat="false" ht="15" hidden="false" customHeight="false" outlineLevel="0" collapsed="false">
      <c r="A10" s="10" t="s">
        <v>646</v>
      </c>
      <c r="B10" s="10" t="s">
        <v>704</v>
      </c>
      <c r="C10" s="10" t="n">
        <v>21</v>
      </c>
      <c r="D10" s="10" t="n">
        <v>20</v>
      </c>
      <c r="E10" s="10" t="n">
        <v>33</v>
      </c>
      <c r="F10" s="10" t="n">
        <v>0.93</v>
      </c>
      <c r="G10" s="10" t="n">
        <v>6</v>
      </c>
      <c r="H10" s="10" t="s">
        <v>702</v>
      </c>
    </row>
    <row r="11" customFormat="false" ht="15" hidden="false" customHeight="false" outlineLevel="0" collapsed="false">
      <c r="A11" s="10" t="s">
        <v>650</v>
      </c>
      <c r="B11" s="10" t="s">
        <v>704</v>
      </c>
      <c r="C11" s="10" t="n">
        <v>10</v>
      </c>
      <c r="D11" s="10" t="n">
        <v>9</v>
      </c>
      <c r="E11" s="10" t="n">
        <v>14</v>
      </c>
      <c r="F11" s="10" t="n">
        <v>0.97</v>
      </c>
      <c r="G11" s="10" t="n">
        <v>1</v>
      </c>
      <c r="H11" s="10" t="s">
        <v>702</v>
      </c>
    </row>
    <row r="12" customFormat="false" ht="15" hidden="false" customHeight="false" outlineLevel="0" collapsed="false">
      <c r="A12" s="10" t="s">
        <v>656</v>
      </c>
      <c r="B12" s="10" t="s">
        <v>704</v>
      </c>
      <c r="C12" s="10" t="n">
        <v>35</v>
      </c>
      <c r="D12" s="10" t="n">
        <v>40</v>
      </c>
      <c r="E12" s="10" t="n">
        <v>60</v>
      </c>
      <c r="F12" s="10" t="n">
        <v>0.82</v>
      </c>
      <c r="G12" s="10" t="n">
        <v>6</v>
      </c>
      <c r="H12" s="10" t="s">
        <v>702</v>
      </c>
    </row>
    <row r="13" customFormat="false" ht="15" hidden="false" customHeight="false" outlineLevel="0" collapsed="false">
      <c r="A13" s="10" t="s">
        <v>671</v>
      </c>
      <c r="B13" s="10" t="s">
        <v>701</v>
      </c>
      <c r="C13" s="10" t="n">
        <v>30</v>
      </c>
      <c r="D13" s="10" t="n">
        <v>34</v>
      </c>
      <c r="E13" s="10" t="n">
        <v>55</v>
      </c>
      <c r="F13" s="10" t="n">
        <v>0.78</v>
      </c>
      <c r="G13" s="10" t="n">
        <v>36</v>
      </c>
      <c r="H13" s="10" t="s">
        <v>702</v>
      </c>
    </row>
    <row r="14" customFormat="false" ht="15" hidden="false" customHeight="false" outlineLevel="0" collapsed="false">
      <c r="A14" s="10" t="s">
        <v>677</v>
      </c>
      <c r="B14" s="10" t="s">
        <v>705</v>
      </c>
      <c r="C14" s="10" t="n">
        <v>25</v>
      </c>
      <c r="D14" s="10" t="n">
        <v>27</v>
      </c>
      <c r="E14" s="10" t="n">
        <v>45</v>
      </c>
      <c r="F14" s="10" t="n">
        <v>0.86</v>
      </c>
      <c r="G14" s="10" t="n">
        <v>12</v>
      </c>
      <c r="H14" s="10" t="s">
        <v>702</v>
      </c>
    </row>
    <row r="15" customFormat="false" ht="15" hidden="false" customHeight="false" outlineLevel="0" collapsed="false">
      <c r="A15" s="10" t="s">
        <v>681</v>
      </c>
      <c r="B15" s="10" t="s">
        <v>706</v>
      </c>
      <c r="C15" s="10" t="n">
        <v>12</v>
      </c>
      <c r="D15" s="10" t="n">
        <v>14</v>
      </c>
      <c r="E15" s="10" t="n">
        <v>20</v>
      </c>
      <c r="F15" s="10" t="n">
        <v>0.95</v>
      </c>
      <c r="G15" s="10" t="n">
        <v>24</v>
      </c>
      <c r="H15" s="10" t="s">
        <v>702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5"/>
    <col collapsed="false" customWidth="true" hidden="false" outlineLevel="0" max="4" min="4" style="0" width="12"/>
    <col collapsed="false" customWidth="true" hidden="false" outlineLevel="0" max="6" min="5" style="0" width="16"/>
    <col collapsed="false" customWidth="true" hidden="false" outlineLevel="0" max="7" min="7" style="0" width="14"/>
    <col collapsed="false" customWidth="true" hidden="false" outlineLevel="0" max="8" min="8" style="0" width="20"/>
    <col collapsed="false" customWidth="true" hidden="false" outlineLevel="0" max="9" min="9" style="0" width="19"/>
    <col collapsed="false" customWidth="true" hidden="false" outlineLevel="0" max="10" min="10" style="0" width="17"/>
  </cols>
  <sheetData>
    <row r="1" customFormat="false" ht="15" hidden="false" customHeight="false" outlineLevel="0" collapsed="false">
      <c r="A1" s="8" t="s">
        <v>707</v>
      </c>
    </row>
    <row r="2" customFormat="false" ht="15" hidden="false" customHeight="false" outlineLevel="0" collapsed="false">
      <c r="A2" s="9" t="s">
        <v>708</v>
      </c>
    </row>
    <row r="3" customFormat="false" ht="15" hidden="false" customHeight="false" outlineLevel="0" collapsed="false">
      <c r="A3" s="5" t="s">
        <v>170</v>
      </c>
      <c r="B3" s="5" t="s">
        <v>123</v>
      </c>
      <c r="C3" s="5" t="s">
        <v>173</v>
      </c>
      <c r="D3" s="5" t="s">
        <v>175</v>
      </c>
      <c r="E3" s="5" t="s">
        <v>176</v>
      </c>
      <c r="F3" s="5" t="s">
        <v>177</v>
      </c>
      <c r="G3" s="5" t="s">
        <v>178</v>
      </c>
      <c r="H3" s="5" t="s">
        <v>179</v>
      </c>
      <c r="I3" s="5" t="s">
        <v>180</v>
      </c>
      <c r="J3" s="5" t="s">
        <v>181</v>
      </c>
    </row>
    <row r="4" customFormat="false" ht="15" hidden="false" customHeight="false" outlineLevel="0" collapsed="false">
      <c r="A4" s="10" t="s">
        <v>709</v>
      </c>
      <c r="B4" s="10" t="s">
        <v>616</v>
      </c>
      <c r="C4" s="10" t="s">
        <v>710</v>
      </c>
      <c r="D4" s="10" t="s">
        <v>711</v>
      </c>
      <c r="E4" s="10" t="n">
        <v>24</v>
      </c>
      <c r="F4" s="10" t="n">
        <v>143</v>
      </c>
      <c r="G4" s="10" t="n">
        <v>9.9</v>
      </c>
      <c r="H4" s="10" t="n">
        <v>0</v>
      </c>
      <c r="I4" s="10" t="s">
        <v>712</v>
      </c>
      <c r="J4" s="10" t="s">
        <v>713</v>
      </c>
    </row>
    <row r="5" customFormat="false" ht="15" hidden="false" customHeight="false" outlineLevel="0" collapsed="false">
      <c r="A5" s="10" t="s">
        <v>714</v>
      </c>
      <c r="B5" s="10" t="s">
        <v>616</v>
      </c>
      <c r="C5" s="10" t="s">
        <v>710</v>
      </c>
      <c r="D5" s="10" t="s">
        <v>711</v>
      </c>
      <c r="E5" s="10" t="n">
        <v>144</v>
      </c>
      <c r="F5" s="10" t="n">
        <v>287</v>
      </c>
      <c r="G5" s="10" t="n">
        <v>9.4</v>
      </c>
      <c r="H5" s="10" t="n">
        <v>0.05</v>
      </c>
      <c r="I5" s="10" t="s">
        <v>712</v>
      </c>
      <c r="J5" s="10" t="s">
        <v>713</v>
      </c>
    </row>
    <row r="6" customFormat="false" ht="15" hidden="false" customHeight="false" outlineLevel="0" collapsed="false">
      <c r="A6" s="10" t="s">
        <v>715</v>
      </c>
      <c r="B6" s="10" t="s">
        <v>616</v>
      </c>
      <c r="C6" s="10" t="s">
        <v>710</v>
      </c>
      <c r="D6" s="10" t="s">
        <v>711</v>
      </c>
      <c r="E6" s="10" t="n">
        <v>288</v>
      </c>
      <c r="F6" s="10" t="n">
        <v>999999</v>
      </c>
      <c r="G6" s="10" t="n">
        <v>8.91</v>
      </c>
      <c r="H6" s="10" t="n">
        <v>0.1</v>
      </c>
      <c r="I6" s="10" t="s">
        <v>712</v>
      </c>
      <c r="J6" s="10" t="s">
        <v>713</v>
      </c>
    </row>
    <row r="7" customFormat="false" ht="15" hidden="false" customHeight="false" outlineLevel="0" collapsed="false">
      <c r="A7" s="10" t="s">
        <v>716</v>
      </c>
      <c r="B7" s="10" t="s">
        <v>623</v>
      </c>
      <c r="C7" s="10" t="s">
        <v>717</v>
      </c>
      <c r="D7" s="10" t="s">
        <v>718</v>
      </c>
      <c r="E7" s="10" t="n">
        <v>6</v>
      </c>
      <c r="F7" s="10" t="n">
        <v>35</v>
      </c>
      <c r="G7" s="10" t="n">
        <v>92</v>
      </c>
      <c r="H7" s="10" t="n">
        <v>0</v>
      </c>
      <c r="I7" s="10" t="s">
        <v>712</v>
      </c>
      <c r="J7" s="10" t="s">
        <v>713</v>
      </c>
    </row>
    <row r="8" customFormat="false" ht="15" hidden="false" customHeight="false" outlineLevel="0" collapsed="false">
      <c r="A8" s="10" t="s">
        <v>719</v>
      </c>
      <c r="B8" s="10" t="s">
        <v>623</v>
      </c>
      <c r="C8" s="10" t="s">
        <v>717</v>
      </c>
      <c r="D8" s="10" t="s">
        <v>718</v>
      </c>
      <c r="E8" s="10" t="n">
        <v>36</v>
      </c>
      <c r="F8" s="10" t="n">
        <v>999999</v>
      </c>
      <c r="G8" s="10" t="n">
        <v>87.4</v>
      </c>
      <c r="H8" s="10" t="n">
        <v>0.05</v>
      </c>
      <c r="I8" s="10" t="s">
        <v>712</v>
      </c>
      <c r="J8" s="10" t="s">
        <v>713</v>
      </c>
    </row>
    <row r="9" customFormat="false" ht="15" hidden="false" customHeight="false" outlineLevel="0" collapsed="false">
      <c r="A9" s="10" t="s">
        <v>720</v>
      </c>
      <c r="B9" s="10" t="s">
        <v>635</v>
      </c>
      <c r="C9" s="10" t="s">
        <v>721</v>
      </c>
      <c r="D9" s="10" t="s">
        <v>711</v>
      </c>
      <c r="E9" s="10" t="n">
        <v>24</v>
      </c>
      <c r="F9" s="10" t="n">
        <v>239</v>
      </c>
      <c r="G9" s="10" t="n">
        <v>14.5</v>
      </c>
      <c r="H9" s="10" t="n">
        <v>0</v>
      </c>
      <c r="I9" s="10" t="s">
        <v>712</v>
      </c>
      <c r="J9" s="10" t="s">
        <v>713</v>
      </c>
    </row>
    <row r="10" customFormat="false" ht="15" hidden="false" customHeight="false" outlineLevel="0" collapsed="false">
      <c r="A10" s="10" t="s">
        <v>722</v>
      </c>
      <c r="B10" s="10" t="s">
        <v>635</v>
      </c>
      <c r="C10" s="10" t="s">
        <v>721</v>
      </c>
      <c r="D10" s="10" t="s">
        <v>711</v>
      </c>
      <c r="E10" s="10" t="n">
        <v>240</v>
      </c>
      <c r="F10" s="10" t="n">
        <v>999999</v>
      </c>
      <c r="G10" s="10" t="n">
        <v>13.34</v>
      </c>
      <c r="H10" s="10" t="n">
        <v>0.08</v>
      </c>
      <c r="I10" s="10" t="s">
        <v>712</v>
      </c>
      <c r="J10" s="10" t="s">
        <v>713</v>
      </c>
    </row>
    <row r="11" customFormat="false" ht="15" hidden="false" customHeight="false" outlineLevel="0" collapsed="false">
      <c r="A11" s="10" t="s">
        <v>723</v>
      </c>
      <c r="B11" s="10" t="s">
        <v>677</v>
      </c>
      <c r="C11" s="10" t="s">
        <v>724</v>
      </c>
      <c r="D11" s="10" t="s">
        <v>711</v>
      </c>
      <c r="E11" s="10" t="n">
        <v>12</v>
      </c>
      <c r="F11" s="10" t="n">
        <v>99</v>
      </c>
      <c r="G11" s="10" t="n">
        <v>41</v>
      </c>
      <c r="H11" s="10" t="n">
        <v>0</v>
      </c>
      <c r="I11" s="10" t="s">
        <v>725</v>
      </c>
      <c r="J11" s="10" t="s">
        <v>726</v>
      </c>
    </row>
    <row r="12" customFormat="false" ht="15" hidden="false" customHeight="false" outlineLevel="0" collapsed="false">
      <c r="A12" s="10" t="s">
        <v>727</v>
      </c>
      <c r="B12" s="10" t="s">
        <v>677</v>
      </c>
      <c r="C12" s="10" t="s">
        <v>724</v>
      </c>
      <c r="D12" s="10" t="s">
        <v>711</v>
      </c>
      <c r="E12" s="10" t="n">
        <v>100</v>
      </c>
      <c r="F12" s="10" t="n">
        <v>999999</v>
      </c>
      <c r="G12" s="10" t="n">
        <v>36.9</v>
      </c>
      <c r="H12" s="10" t="n">
        <v>0.1</v>
      </c>
      <c r="I12" s="10" t="s">
        <v>725</v>
      </c>
      <c r="J12" s="10" t="s">
        <v>726</v>
      </c>
    </row>
    <row r="13" customFormat="false" ht="15" hidden="false" customHeight="false" outlineLevel="0" collapsed="false">
      <c r="A13" s="10" t="s">
        <v>728</v>
      </c>
      <c r="B13" s="10" t="s">
        <v>681</v>
      </c>
      <c r="C13" s="10" t="s">
        <v>729</v>
      </c>
      <c r="D13" s="10" t="s">
        <v>718</v>
      </c>
      <c r="E13" s="10" t="n">
        <v>24</v>
      </c>
      <c r="F13" s="10" t="n">
        <v>999999</v>
      </c>
      <c r="G13" s="10" t="n">
        <v>11.25</v>
      </c>
      <c r="H13" s="10" t="n">
        <v>0.06</v>
      </c>
      <c r="I13" s="10" t="s">
        <v>712</v>
      </c>
      <c r="J13" s="10" t="s">
        <v>713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25"/>
    <col collapsed="false" customWidth="true" hidden="false" outlineLevel="0" max="4" min="4" style="0" width="54"/>
    <col collapsed="false" customWidth="true" hidden="false" outlineLevel="0" max="5" min="5" style="0" width="14"/>
    <col collapsed="false" customWidth="true" hidden="false" outlineLevel="0" max="6" min="6" style="0" width="15"/>
    <col collapsed="false" customWidth="true" hidden="false" outlineLevel="0" max="7" min="7" style="0" width="14"/>
    <col collapsed="false" customWidth="true" hidden="false" outlineLevel="0" max="8" min="8" style="0" width="19"/>
    <col collapsed="false" customWidth="true" hidden="false" outlineLevel="0" max="9" min="9" style="0" width="18"/>
    <col collapsed="false" customWidth="true" hidden="false" outlineLevel="0" max="10" min="10" style="0" width="25"/>
    <col collapsed="false" customWidth="true" hidden="false" outlineLevel="0" max="11" min="11" style="0" width="23"/>
    <col collapsed="false" customWidth="true" hidden="false" outlineLevel="0" max="12" min="12" style="0" width="55"/>
    <col collapsed="false" customWidth="true" hidden="false" outlineLevel="0" max="13" min="13" style="0" width="12"/>
  </cols>
  <sheetData>
    <row r="1" customFormat="false" ht="15" hidden="false" customHeight="false" outlineLevel="0" collapsed="false">
      <c r="A1" s="8" t="s">
        <v>730</v>
      </c>
    </row>
    <row r="2" customFormat="false" ht="15" hidden="false" customHeight="false" outlineLevel="0" collapsed="false">
      <c r="A2" s="9" t="s">
        <v>731</v>
      </c>
    </row>
    <row r="3" customFormat="false" ht="15" hidden="false" customHeight="false" outlineLevel="0" collapsed="false">
      <c r="A3" s="5" t="s">
        <v>184</v>
      </c>
      <c r="B3" s="5" t="s">
        <v>123</v>
      </c>
      <c r="C3" s="5" t="s">
        <v>186</v>
      </c>
      <c r="D3" s="5" t="s">
        <v>188</v>
      </c>
      <c r="E3" s="5" t="s">
        <v>189</v>
      </c>
      <c r="F3" s="5" t="s">
        <v>190</v>
      </c>
      <c r="G3" s="5" t="s">
        <v>191</v>
      </c>
      <c r="H3" s="5" t="s">
        <v>192</v>
      </c>
      <c r="I3" s="5" t="s">
        <v>193</v>
      </c>
      <c r="J3" s="5" t="s">
        <v>194</v>
      </c>
      <c r="K3" s="5" t="s">
        <v>196</v>
      </c>
      <c r="L3" s="5" t="s">
        <v>198</v>
      </c>
      <c r="M3" s="5" t="s">
        <v>120</v>
      </c>
    </row>
    <row r="4" customFormat="false" ht="15" hidden="false" customHeight="false" outlineLevel="0" collapsed="false">
      <c r="A4" s="10" t="s">
        <v>732</v>
      </c>
      <c r="B4" s="10" t="s">
        <v>616</v>
      </c>
      <c r="C4" s="10" t="s">
        <v>733</v>
      </c>
      <c r="D4" s="10" t="s">
        <v>734</v>
      </c>
      <c r="E4" s="10" t="s">
        <v>735</v>
      </c>
      <c r="F4" s="10" t="s">
        <v>736</v>
      </c>
      <c r="G4" s="10" t="n">
        <v>288</v>
      </c>
      <c r="H4" s="10" t="n">
        <v>8.91</v>
      </c>
      <c r="I4" s="10" t="n">
        <v>9.9</v>
      </c>
      <c r="J4" s="10" t="n">
        <v>0.043</v>
      </c>
      <c r="K4" s="10" t="n">
        <v>6.2</v>
      </c>
      <c r="L4" s="10" t="s">
        <v>737</v>
      </c>
      <c r="M4" s="10" t="s">
        <v>738</v>
      </c>
    </row>
    <row r="5" customFormat="false" ht="15" hidden="false" customHeight="false" outlineLevel="0" collapsed="false">
      <c r="A5" s="10" t="s">
        <v>739</v>
      </c>
      <c r="B5" s="10" t="s">
        <v>623</v>
      </c>
      <c r="C5" s="10" t="s">
        <v>740</v>
      </c>
      <c r="D5" s="10" t="s">
        <v>741</v>
      </c>
      <c r="E5" s="10" t="s">
        <v>742</v>
      </c>
      <c r="F5" s="10" t="s">
        <v>743</v>
      </c>
      <c r="G5" s="10" t="n">
        <v>120</v>
      </c>
      <c r="H5" s="10" t="n">
        <v>64.4</v>
      </c>
      <c r="I5" s="10" t="n">
        <v>92</v>
      </c>
      <c r="J5" s="10" t="n">
        <v>0.11</v>
      </c>
      <c r="K5" s="10" t="n">
        <v>9.8</v>
      </c>
      <c r="L5" s="10" t="s">
        <v>744</v>
      </c>
      <c r="M5" s="10" t="s">
        <v>745</v>
      </c>
    </row>
    <row r="6" customFormat="false" ht="15" hidden="false" customHeight="false" outlineLevel="0" collapsed="false">
      <c r="A6" s="10" t="s">
        <v>746</v>
      </c>
      <c r="B6" s="10" t="s">
        <v>677</v>
      </c>
      <c r="C6" s="10" t="s">
        <v>747</v>
      </c>
      <c r="D6" s="10" t="s">
        <v>748</v>
      </c>
      <c r="E6" s="10" t="s">
        <v>749</v>
      </c>
      <c r="F6" s="10" t="s">
        <v>750</v>
      </c>
      <c r="G6" s="10" t="n">
        <v>150</v>
      </c>
      <c r="H6" s="10" t="n">
        <v>36.9</v>
      </c>
      <c r="I6" s="10" t="n">
        <v>41</v>
      </c>
      <c r="J6" s="10" t="n">
        <v>0.038</v>
      </c>
      <c r="K6" s="10" t="n">
        <v>7.5</v>
      </c>
      <c r="L6" s="10" t="s">
        <v>751</v>
      </c>
      <c r="M6" s="10" t="s">
        <v>745</v>
      </c>
    </row>
    <row r="7" customFormat="false" ht="15" hidden="false" customHeight="false" outlineLevel="0" collapsed="false">
      <c r="A7" s="10" t="s">
        <v>752</v>
      </c>
      <c r="B7" s="10" t="s">
        <v>671</v>
      </c>
      <c r="C7" s="10" t="s">
        <v>753</v>
      </c>
      <c r="D7" s="10" t="s">
        <v>754</v>
      </c>
      <c r="E7" s="10" t="s">
        <v>755</v>
      </c>
      <c r="F7" s="10" t="s">
        <v>756</v>
      </c>
      <c r="G7" s="10" t="n">
        <v>300</v>
      </c>
      <c r="H7" s="10" t="n">
        <v>16.8</v>
      </c>
      <c r="I7" s="10" t="n">
        <v>21</v>
      </c>
      <c r="J7" s="10" t="n">
        <v>0.09</v>
      </c>
      <c r="K7" s="10" t="n">
        <v>14</v>
      </c>
      <c r="L7" s="10" t="s">
        <v>757</v>
      </c>
      <c r="M7" s="10" t="s">
        <v>758</v>
      </c>
    </row>
    <row r="8" customFormat="false" ht="15" hidden="false" customHeight="false" outlineLevel="0" collapsed="false">
      <c r="A8" s="10" t="s">
        <v>759</v>
      </c>
      <c r="B8" s="10" t="s">
        <v>661</v>
      </c>
      <c r="C8" s="10" t="s">
        <v>760</v>
      </c>
      <c r="D8" s="10" t="s">
        <v>761</v>
      </c>
      <c r="E8" s="10" t="s">
        <v>762</v>
      </c>
      <c r="F8" s="10" t="s">
        <v>763</v>
      </c>
      <c r="G8" s="10" t="n">
        <v>90</v>
      </c>
      <c r="H8" s="10" t="n">
        <v>80.75</v>
      </c>
      <c r="I8" s="10" t="n">
        <v>95</v>
      </c>
      <c r="J8" s="10" t="n">
        <v>0.078</v>
      </c>
      <c r="K8" s="10" t="n">
        <v>8.1</v>
      </c>
      <c r="L8" s="10" t="s">
        <v>764</v>
      </c>
      <c r="M8" s="10" t="s">
        <v>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4"/>
    <col collapsed="false" customWidth="true" hidden="false" outlineLevel="0" max="3" min="3" style="0" width="13"/>
    <col collapsed="false" customWidth="true" hidden="false" outlineLevel="0" max="4" min="4" style="0" width="23"/>
    <col collapsed="false" customWidth="true" hidden="false" outlineLevel="0" max="5" min="5" style="0" width="13"/>
    <col collapsed="false" customWidth="true" hidden="false" outlineLevel="0" max="6" min="6" style="0" width="15"/>
    <col collapsed="false" customWidth="true" hidden="false" outlineLevel="0" max="7" min="7" style="0" width="22"/>
    <col collapsed="false" customWidth="true" hidden="false" outlineLevel="0" max="8" min="8" style="0" width="23"/>
    <col collapsed="false" customWidth="true" hidden="false" outlineLevel="0" max="9" min="9" style="0" width="26"/>
  </cols>
  <sheetData>
    <row r="1" customFormat="false" ht="15" hidden="false" customHeight="false" outlineLevel="0" collapsed="false">
      <c r="A1" s="8" t="s">
        <v>765</v>
      </c>
    </row>
    <row r="2" customFormat="false" ht="15" hidden="false" customHeight="false" outlineLevel="0" collapsed="false">
      <c r="A2" s="9" t="s">
        <v>766</v>
      </c>
    </row>
    <row r="3" customFormat="false" ht="15" hidden="false" customHeight="false" outlineLevel="0" collapsed="false">
      <c r="A3" s="5" t="s">
        <v>201</v>
      </c>
      <c r="B3" s="5" t="s">
        <v>203</v>
      </c>
      <c r="C3" s="5" t="s">
        <v>155</v>
      </c>
      <c r="D3" s="5" t="s">
        <v>204</v>
      </c>
      <c r="E3" s="5" t="s">
        <v>205</v>
      </c>
      <c r="F3" s="5" t="s">
        <v>207</v>
      </c>
      <c r="G3" s="5" t="s">
        <v>209</v>
      </c>
      <c r="H3" s="5" t="s">
        <v>211</v>
      </c>
      <c r="I3" s="5" t="s">
        <v>213</v>
      </c>
    </row>
    <row r="4" customFormat="false" ht="15" hidden="false" customHeight="false" outlineLevel="0" collapsed="false">
      <c r="A4" s="10" t="s">
        <v>767</v>
      </c>
      <c r="B4" s="10" t="s">
        <v>704</v>
      </c>
      <c r="C4" s="10" t="s">
        <v>768</v>
      </c>
      <c r="D4" s="10" t="s">
        <v>769</v>
      </c>
      <c r="E4" s="10" t="s">
        <v>770</v>
      </c>
      <c r="F4" s="10" t="s">
        <v>771</v>
      </c>
      <c r="G4" s="10" t="s">
        <v>772</v>
      </c>
      <c r="H4" s="10" t="s">
        <v>773</v>
      </c>
      <c r="I4" s="10" t="s">
        <v>774</v>
      </c>
    </row>
    <row r="5" customFormat="false" ht="15" hidden="false" customHeight="false" outlineLevel="0" collapsed="false">
      <c r="A5" s="10" t="s">
        <v>775</v>
      </c>
      <c r="B5" s="10" t="s">
        <v>704</v>
      </c>
      <c r="C5" s="10" t="s">
        <v>768</v>
      </c>
      <c r="D5" s="10" t="s">
        <v>776</v>
      </c>
      <c r="E5" s="10" t="s">
        <v>770</v>
      </c>
      <c r="F5" s="10" t="s">
        <v>771</v>
      </c>
      <c r="G5" s="10" t="s">
        <v>772</v>
      </c>
      <c r="H5" s="10" t="s">
        <v>773</v>
      </c>
      <c r="I5" s="10" t="s">
        <v>777</v>
      </c>
    </row>
    <row r="6" customFormat="false" ht="15" hidden="false" customHeight="false" outlineLevel="0" collapsed="false">
      <c r="A6" s="10" t="s">
        <v>778</v>
      </c>
      <c r="B6" s="10" t="s">
        <v>704</v>
      </c>
      <c r="C6" s="10" t="s">
        <v>768</v>
      </c>
      <c r="D6" s="10" t="s">
        <v>779</v>
      </c>
      <c r="E6" s="10" t="s">
        <v>770</v>
      </c>
      <c r="F6" s="10" t="s">
        <v>771</v>
      </c>
      <c r="G6" s="10" t="s">
        <v>772</v>
      </c>
      <c r="H6" s="10" t="s">
        <v>773</v>
      </c>
      <c r="I6" s="10" t="s">
        <v>780</v>
      </c>
    </row>
    <row r="7" customFormat="false" ht="15" hidden="false" customHeight="false" outlineLevel="0" collapsed="false">
      <c r="A7" s="10" t="s">
        <v>781</v>
      </c>
      <c r="B7" s="10" t="s">
        <v>704</v>
      </c>
      <c r="C7" s="10" t="s">
        <v>782</v>
      </c>
      <c r="D7" s="10" t="s">
        <v>783</v>
      </c>
      <c r="E7" s="10" t="s">
        <v>770</v>
      </c>
      <c r="F7" s="10" t="s">
        <v>771</v>
      </c>
      <c r="G7" s="10" t="s">
        <v>772</v>
      </c>
      <c r="H7" s="10" t="s">
        <v>784</v>
      </c>
      <c r="I7" s="10" t="s">
        <v>780</v>
      </c>
    </row>
    <row r="8" customFormat="false" ht="15" hidden="false" customHeight="false" outlineLevel="0" collapsed="false">
      <c r="A8" s="10" t="s">
        <v>785</v>
      </c>
      <c r="B8" s="10" t="s">
        <v>701</v>
      </c>
      <c r="C8" s="10" t="s">
        <v>786</v>
      </c>
      <c r="D8" s="10" t="s">
        <v>787</v>
      </c>
      <c r="E8" s="10" t="s">
        <v>770</v>
      </c>
      <c r="F8" s="10" t="s">
        <v>788</v>
      </c>
      <c r="G8" s="10" t="s">
        <v>789</v>
      </c>
      <c r="H8" s="10" t="s">
        <v>784</v>
      </c>
      <c r="I8" s="10" t="s">
        <v>780</v>
      </c>
    </row>
    <row r="9" customFormat="false" ht="15" hidden="false" customHeight="false" outlineLevel="0" collapsed="false">
      <c r="A9" s="10" t="s">
        <v>790</v>
      </c>
      <c r="B9" s="10" t="s">
        <v>701</v>
      </c>
      <c r="C9" s="10" t="s">
        <v>786</v>
      </c>
      <c r="D9" s="10" t="s">
        <v>791</v>
      </c>
      <c r="E9" s="10" t="s">
        <v>770</v>
      </c>
      <c r="F9" s="10" t="s">
        <v>788</v>
      </c>
      <c r="G9" s="10" t="s">
        <v>789</v>
      </c>
      <c r="H9" s="10" t="s">
        <v>784</v>
      </c>
      <c r="I9" s="10" t="s">
        <v>780</v>
      </c>
    </row>
    <row r="10" customFormat="false" ht="15" hidden="false" customHeight="false" outlineLevel="0" collapsed="false">
      <c r="A10" s="10" t="s">
        <v>792</v>
      </c>
      <c r="B10" s="10" t="s">
        <v>701</v>
      </c>
      <c r="C10" s="10" t="s">
        <v>793</v>
      </c>
      <c r="D10" s="10" t="s">
        <v>794</v>
      </c>
      <c r="E10" s="10" t="s">
        <v>770</v>
      </c>
      <c r="F10" s="10" t="s">
        <v>795</v>
      </c>
      <c r="G10" s="10" t="s">
        <v>796</v>
      </c>
      <c r="H10" s="10" t="s">
        <v>797</v>
      </c>
      <c r="I10" s="10" t="s">
        <v>798</v>
      </c>
    </row>
    <row r="11" customFormat="false" ht="15" hidden="false" customHeight="false" outlineLevel="0" collapsed="false">
      <c r="A11" s="10" t="s">
        <v>799</v>
      </c>
      <c r="B11" s="10" t="s">
        <v>701</v>
      </c>
      <c r="C11" s="10" t="s">
        <v>793</v>
      </c>
      <c r="D11" s="10" t="s">
        <v>800</v>
      </c>
      <c r="E11" s="10" t="s">
        <v>770</v>
      </c>
      <c r="F11" s="10" t="s">
        <v>795</v>
      </c>
      <c r="G11" s="10" t="s">
        <v>796</v>
      </c>
      <c r="H11" s="10" t="s">
        <v>801</v>
      </c>
      <c r="I11" s="10" t="s">
        <v>802</v>
      </c>
    </row>
    <row r="12" customFormat="false" ht="15" hidden="false" customHeight="false" outlineLevel="0" collapsed="false">
      <c r="A12" s="10" t="s">
        <v>803</v>
      </c>
      <c r="B12" s="10" t="s">
        <v>701</v>
      </c>
      <c r="C12" s="10" t="s">
        <v>804</v>
      </c>
      <c r="D12" s="10" t="s">
        <v>705</v>
      </c>
      <c r="E12" s="10" t="s">
        <v>805</v>
      </c>
      <c r="F12" s="10" t="s">
        <v>795</v>
      </c>
      <c r="G12" s="10" t="s">
        <v>796</v>
      </c>
      <c r="H12" s="10" t="s">
        <v>806</v>
      </c>
      <c r="I12" s="10" t="s">
        <v>807</v>
      </c>
    </row>
    <row r="13" customFormat="false" ht="15" hidden="false" customHeight="false" outlineLevel="0" collapsed="false">
      <c r="A13" s="10" t="s">
        <v>808</v>
      </c>
      <c r="B13" s="10" t="s">
        <v>701</v>
      </c>
      <c r="C13" s="10" t="s">
        <v>804</v>
      </c>
      <c r="D13" s="10" t="s">
        <v>809</v>
      </c>
      <c r="E13" s="10" t="s">
        <v>805</v>
      </c>
      <c r="F13" s="10" t="s">
        <v>795</v>
      </c>
      <c r="G13" s="10" t="s">
        <v>796</v>
      </c>
      <c r="H13" s="10" t="s">
        <v>801</v>
      </c>
      <c r="I13" s="10" t="s">
        <v>802</v>
      </c>
    </row>
    <row r="14" customFormat="false" ht="15" hidden="false" customHeight="false" outlineLevel="0" collapsed="false">
      <c r="A14" s="10" t="s">
        <v>810</v>
      </c>
      <c r="B14" s="10" t="s">
        <v>701</v>
      </c>
      <c r="C14" s="10" t="s">
        <v>804</v>
      </c>
      <c r="D14" s="10" t="s">
        <v>811</v>
      </c>
      <c r="E14" s="10" t="s">
        <v>770</v>
      </c>
      <c r="F14" s="10" t="s">
        <v>795</v>
      </c>
      <c r="G14" s="10" t="s">
        <v>796</v>
      </c>
      <c r="H14" s="10" t="s">
        <v>784</v>
      </c>
      <c r="I14" s="10" t="s">
        <v>812</v>
      </c>
    </row>
    <row r="15" customFormat="false" ht="15" hidden="false" customHeight="false" outlineLevel="0" collapsed="false">
      <c r="A15" s="10" t="s">
        <v>813</v>
      </c>
      <c r="B15" s="10" t="s">
        <v>701</v>
      </c>
      <c r="C15" s="10" t="s">
        <v>814</v>
      </c>
      <c r="D15" s="10" t="s">
        <v>815</v>
      </c>
      <c r="E15" s="10" t="s">
        <v>770</v>
      </c>
      <c r="F15" s="10" t="s">
        <v>795</v>
      </c>
      <c r="G15" s="10" t="s">
        <v>816</v>
      </c>
      <c r="H15" s="10" t="s">
        <v>784</v>
      </c>
      <c r="I15" s="10" t="s">
        <v>674</v>
      </c>
    </row>
    <row r="16" customFormat="false" ht="15" hidden="false" customHeight="false" outlineLevel="0" collapsed="false">
      <c r="A16" s="10" t="s">
        <v>817</v>
      </c>
      <c r="B16" s="10" t="s">
        <v>818</v>
      </c>
      <c r="C16" s="10" t="s">
        <v>706</v>
      </c>
      <c r="D16" s="10" t="s">
        <v>819</v>
      </c>
      <c r="E16" s="10" t="s">
        <v>770</v>
      </c>
      <c r="F16" s="10" t="s">
        <v>795</v>
      </c>
      <c r="G16" s="10" t="s">
        <v>820</v>
      </c>
      <c r="H16" s="10" t="s">
        <v>801</v>
      </c>
      <c r="I16" s="10" t="s">
        <v>821</v>
      </c>
    </row>
    <row r="17" customFormat="false" ht="15" hidden="false" customHeight="false" outlineLevel="0" collapsed="false">
      <c r="A17" s="10" t="s">
        <v>822</v>
      </c>
      <c r="B17" s="10" t="s">
        <v>818</v>
      </c>
      <c r="C17" s="10" t="s">
        <v>703</v>
      </c>
      <c r="D17" s="10" t="s">
        <v>823</v>
      </c>
      <c r="E17" s="10" t="s">
        <v>770</v>
      </c>
      <c r="F17" s="10" t="s">
        <v>824</v>
      </c>
      <c r="G17" s="10" t="s">
        <v>825</v>
      </c>
      <c r="H17" s="10" t="s">
        <v>801</v>
      </c>
      <c r="I17" s="10" t="s">
        <v>802</v>
      </c>
    </row>
    <row r="18" customFormat="false" ht="15" hidden="false" customHeight="false" outlineLevel="0" collapsed="false">
      <c r="A18" s="10" t="s">
        <v>826</v>
      </c>
      <c r="B18" s="10" t="s">
        <v>818</v>
      </c>
      <c r="C18" s="10" t="s">
        <v>827</v>
      </c>
      <c r="D18" s="10" t="s">
        <v>828</v>
      </c>
      <c r="E18" s="10" t="s">
        <v>770</v>
      </c>
      <c r="F18" s="10" t="s">
        <v>824</v>
      </c>
      <c r="G18" s="10" t="s">
        <v>825</v>
      </c>
      <c r="H18" s="10" t="s">
        <v>784</v>
      </c>
      <c r="I18" s="10" t="s">
        <v>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2" min="2" style="0" width="13"/>
    <col collapsed="false" customWidth="true" hidden="false" outlineLevel="0" max="3" min="3" style="0" width="20"/>
    <col collapsed="false" customWidth="true" hidden="false" outlineLevel="0" max="4" min="4" style="0" width="36"/>
    <col collapsed="false" customWidth="true" hidden="false" outlineLevel="0" max="5" min="5" style="0" width="15"/>
    <col collapsed="false" customWidth="true" hidden="false" outlineLevel="0" max="6" min="6" style="0" width="13"/>
    <col collapsed="false" customWidth="true" hidden="false" outlineLevel="0" max="7" min="7" style="0" width="15"/>
    <col collapsed="false" customWidth="true" hidden="false" outlineLevel="0" max="8" min="8" style="0" width="17"/>
    <col collapsed="false" customWidth="true" hidden="false" outlineLevel="0" max="9" min="9" style="0" width="18"/>
    <col collapsed="false" customWidth="true" hidden="false" outlineLevel="0" max="10" min="10" style="0" width="13"/>
    <col collapsed="false" customWidth="true" hidden="false" outlineLevel="0" max="11" min="11" style="0" width="15"/>
  </cols>
  <sheetData>
    <row r="1" customFormat="false" ht="15" hidden="false" customHeight="false" outlineLevel="0" collapsed="false">
      <c r="A1" s="8" t="s">
        <v>829</v>
      </c>
    </row>
    <row r="2" customFormat="false" ht="15" hidden="false" customHeight="false" outlineLevel="0" collapsed="false">
      <c r="A2" s="9" t="s">
        <v>830</v>
      </c>
    </row>
    <row r="3" customFormat="false" ht="15" hidden="false" customHeight="false" outlineLevel="0" collapsed="false">
      <c r="A3" s="5" t="s">
        <v>216</v>
      </c>
      <c r="B3" s="5" t="s">
        <v>123</v>
      </c>
      <c r="C3" s="5" t="s">
        <v>218</v>
      </c>
      <c r="D3" s="5" t="s">
        <v>219</v>
      </c>
      <c r="E3" s="5" t="s">
        <v>201</v>
      </c>
      <c r="F3" s="5" t="s">
        <v>205</v>
      </c>
      <c r="G3" s="5" t="s">
        <v>220</v>
      </c>
      <c r="H3" s="5" t="s">
        <v>222</v>
      </c>
      <c r="I3" s="5" t="s">
        <v>224</v>
      </c>
      <c r="J3" s="5" t="s">
        <v>225</v>
      </c>
      <c r="K3" s="5" t="s">
        <v>226</v>
      </c>
    </row>
    <row r="4" customFormat="false" ht="15" hidden="false" customHeight="false" outlineLevel="0" collapsed="false">
      <c r="A4" s="10" t="s">
        <v>831</v>
      </c>
      <c r="B4" s="10" t="s">
        <v>616</v>
      </c>
      <c r="C4" s="10" t="s">
        <v>832</v>
      </c>
      <c r="D4" s="10" t="s">
        <v>833</v>
      </c>
      <c r="E4" s="10" t="s">
        <v>792</v>
      </c>
      <c r="F4" s="10" t="s">
        <v>770</v>
      </c>
      <c r="G4" s="10" t="s">
        <v>834</v>
      </c>
      <c r="H4" s="10" t="s">
        <v>796</v>
      </c>
      <c r="I4" s="10" t="s">
        <v>797</v>
      </c>
      <c r="J4" s="10" t="n">
        <v>9.9</v>
      </c>
      <c r="K4" s="10" t="n">
        <v>19.99</v>
      </c>
    </row>
    <row r="5" customFormat="false" ht="15" hidden="false" customHeight="false" outlineLevel="0" collapsed="false">
      <c r="A5" s="10" t="s">
        <v>835</v>
      </c>
      <c r="B5" s="10" t="s">
        <v>616</v>
      </c>
      <c r="C5" s="10" t="s">
        <v>832</v>
      </c>
      <c r="D5" s="10" t="s">
        <v>836</v>
      </c>
      <c r="E5" s="10" t="s">
        <v>785</v>
      </c>
      <c r="F5" s="10" t="s">
        <v>770</v>
      </c>
      <c r="G5" s="10" t="s">
        <v>834</v>
      </c>
      <c r="H5" s="10" t="s">
        <v>789</v>
      </c>
      <c r="I5" s="10" t="s">
        <v>784</v>
      </c>
      <c r="J5" s="10" t="n">
        <v>24.5</v>
      </c>
      <c r="K5" s="10" t="n">
        <v>49.99</v>
      </c>
    </row>
    <row r="6" customFormat="false" ht="15" hidden="false" customHeight="false" outlineLevel="0" collapsed="false">
      <c r="A6" s="10" t="s">
        <v>837</v>
      </c>
      <c r="B6" s="10" t="s">
        <v>616</v>
      </c>
      <c r="C6" s="10" t="s">
        <v>832</v>
      </c>
      <c r="D6" s="10" t="s">
        <v>838</v>
      </c>
      <c r="E6" s="10" t="s">
        <v>799</v>
      </c>
      <c r="F6" s="10" t="s">
        <v>770</v>
      </c>
      <c r="G6" s="10" t="s">
        <v>839</v>
      </c>
      <c r="H6" s="10" t="s">
        <v>796</v>
      </c>
      <c r="I6" s="10" t="s">
        <v>801</v>
      </c>
      <c r="J6" s="10" t="n">
        <v>27</v>
      </c>
      <c r="K6" s="10" t="n">
        <v>54.99</v>
      </c>
    </row>
    <row r="7" customFormat="false" ht="15" hidden="false" customHeight="false" outlineLevel="0" collapsed="false">
      <c r="A7" s="10" t="s">
        <v>840</v>
      </c>
      <c r="B7" s="10" t="s">
        <v>616</v>
      </c>
      <c r="C7" s="10" t="s">
        <v>832</v>
      </c>
      <c r="D7" s="10" t="s">
        <v>841</v>
      </c>
      <c r="E7" s="10" t="s">
        <v>822</v>
      </c>
      <c r="F7" s="10" t="s">
        <v>805</v>
      </c>
      <c r="G7" s="10" t="s">
        <v>839</v>
      </c>
      <c r="H7" s="10" t="s">
        <v>825</v>
      </c>
      <c r="I7" s="10" t="s">
        <v>801</v>
      </c>
      <c r="J7" s="10" t="n">
        <v>7.2</v>
      </c>
      <c r="K7" s="10" t="n">
        <v>16.99</v>
      </c>
    </row>
    <row r="8" customFormat="false" ht="15" hidden="false" customHeight="false" outlineLevel="0" collapsed="false">
      <c r="A8" s="10" t="s">
        <v>842</v>
      </c>
      <c r="B8" s="10" t="s">
        <v>623</v>
      </c>
      <c r="C8" s="10" t="s">
        <v>843</v>
      </c>
      <c r="D8" s="10" t="s">
        <v>844</v>
      </c>
      <c r="E8" s="10" t="s">
        <v>767</v>
      </c>
      <c r="F8" s="10" t="s">
        <v>770</v>
      </c>
      <c r="G8" s="10" t="s">
        <v>834</v>
      </c>
      <c r="H8" s="10" t="s">
        <v>772</v>
      </c>
      <c r="I8" s="10" t="s">
        <v>773</v>
      </c>
      <c r="J8" s="10" t="n">
        <v>92</v>
      </c>
      <c r="K8" s="10" t="n">
        <v>169.99</v>
      </c>
    </row>
    <row r="9" customFormat="false" ht="15" hidden="false" customHeight="false" outlineLevel="0" collapsed="false">
      <c r="A9" s="10" t="s">
        <v>845</v>
      </c>
      <c r="B9" s="10" t="s">
        <v>628</v>
      </c>
      <c r="C9" s="10" t="s">
        <v>846</v>
      </c>
      <c r="D9" s="10" t="s">
        <v>847</v>
      </c>
      <c r="E9" s="10" t="s">
        <v>767</v>
      </c>
      <c r="F9" s="10" t="s">
        <v>770</v>
      </c>
      <c r="G9" s="10" t="s">
        <v>834</v>
      </c>
      <c r="H9" s="10" t="s">
        <v>772</v>
      </c>
      <c r="I9" s="10" t="s">
        <v>773</v>
      </c>
      <c r="J9" s="10" t="n">
        <v>78</v>
      </c>
      <c r="K9" s="10" t="n">
        <v>144.99</v>
      </c>
    </row>
    <row r="10" customFormat="false" ht="15" hidden="false" customHeight="false" outlineLevel="0" collapsed="false">
      <c r="A10" s="10" t="s">
        <v>848</v>
      </c>
      <c r="B10" s="10" t="s">
        <v>635</v>
      </c>
      <c r="C10" s="10" t="s">
        <v>849</v>
      </c>
      <c r="D10" s="10" t="s">
        <v>850</v>
      </c>
      <c r="E10" s="10" t="s">
        <v>785</v>
      </c>
      <c r="F10" s="10" t="s">
        <v>770</v>
      </c>
      <c r="G10" s="10" t="s">
        <v>834</v>
      </c>
      <c r="H10" s="10" t="s">
        <v>789</v>
      </c>
      <c r="I10" s="10" t="s">
        <v>784</v>
      </c>
      <c r="J10" s="10" t="n">
        <v>14.5</v>
      </c>
      <c r="K10" s="10" t="n">
        <v>29.99</v>
      </c>
    </row>
    <row r="11" customFormat="false" ht="15" hidden="false" customHeight="false" outlineLevel="0" collapsed="false">
      <c r="A11" s="10" t="s">
        <v>851</v>
      </c>
      <c r="B11" s="10" t="s">
        <v>635</v>
      </c>
      <c r="C11" s="10" t="s">
        <v>849</v>
      </c>
      <c r="D11" s="10" t="s">
        <v>852</v>
      </c>
      <c r="E11" s="10" t="s">
        <v>813</v>
      </c>
      <c r="F11" s="10" t="s">
        <v>770</v>
      </c>
      <c r="G11" s="10" t="s">
        <v>834</v>
      </c>
      <c r="H11" s="10" t="s">
        <v>816</v>
      </c>
      <c r="I11" s="10" t="s">
        <v>784</v>
      </c>
      <c r="J11" s="10" t="n">
        <v>11.8</v>
      </c>
      <c r="K11" s="10" t="n">
        <v>24.99</v>
      </c>
    </row>
    <row r="12" customFormat="false" ht="15" hidden="false" customHeight="false" outlineLevel="0" collapsed="false">
      <c r="A12" s="10" t="s">
        <v>853</v>
      </c>
      <c r="B12" s="10" t="s">
        <v>641</v>
      </c>
      <c r="C12" s="10" t="s">
        <v>854</v>
      </c>
      <c r="D12" s="10" t="s">
        <v>855</v>
      </c>
      <c r="E12" s="10" t="s">
        <v>778</v>
      </c>
      <c r="F12" s="10" t="s">
        <v>770</v>
      </c>
      <c r="G12" s="10" t="s">
        <v>834</v>
      </c>
      <c r="H12" s="10" t="s">
        <v>772</v>
      </c>
      <c r="I12" s="10" t="s">
        <v>773</v>
      </c>
      <c r="J12" s="10" t="n">
        <v>118</v>
      </c>
      <c r="K12" s="10" t="n">
        <v>209.99</v>
      </c>
    </row>
    <row r="13" customFormat="false" ht="15" hidden="false" customHeight="false" outlineLevel="0" collapsed="false">
      <c r="A13" s="10" t="s">
        <v>856</v>
      </c>
      <c r="B13" s="10" t="s">
        <v>646</v>
      </c>
      <c r="C13" s="10" t="s">
        <v>647</v>
      </c>
      <c r="D13" s="10" t="s">
        <v>857</v>
      </c>
      <c r="E13" s="10" t="s">
        <v>767</v>
      </c>
      <c r="F13" s="10" t="s">
        <v>770</v>
      </c>
      <c r="G13" s="10" t="s">
        <v>834</v>
      </c>
      <c r="H13" s="10" t="s">
        <v>772</v>
      </c>
      <c r="I13" s="10" t="s">
        <v>773</v>
      </c>
      <c r="J13" s="10" t="n">
        <v>105</v>
      </c>
      <c r="K13" s="10" t="n">
        <v>189.99</v>
      </c>
    </row>
    <row r="14" customFormat="false" ht="15" hidden="false" customHeight="false" outlineLevel="0" collapsed="false">
      <c r="A14" s="10" t="s">
        <v>858</v>
      </c>
      <c r="B14" s="10" t="s">
        <v>650</v>
      </c>
      <c r="C14" s="10" t="s">
        <v>859</v>
      </c>
      <c r="D14" s="10" t="s">
        <v>860</v>
      </c>
      <c r="E14" s="10" t="s">
        <v>767</v>
      </c>
      <c r="F14" s="10" t="s">
        <v>770</v>
      </c>
      <c r="G14" s="10" t="s">
        <v>834</v>
      </c>
      <c r="H14" s="10" t="s">
        <v>772</v>
      </c>
      <c r="I14" s="10" t="s">
        <v>773</v>
      </c>
      <c r="J14" s="10" t="n">
        <v>89</v>
      </c>
      <c r="K14" s="10" t="n">
        <v>159.99</v>
      </c>
    </row>
    <row r="15" customFormat="false" ht="15" hidden="false" customHeight="false" outlineLevel="0" collapsed="false">
      <c r="A15" s="10" t="s">
        <v>861</v>
      </c>
      <c r="B15" s="10" t="s">
        <v>656</v>
      </c>
      <c r="C15" s="10" t="s">
        <v>862</v>
      </c>
      <c r="D15" s="10" t="s">
        <v>863</v>
      </c>
      <c r="E15" s="10" t="s">
        <v>767</v>
      </c>
      <c r="F15" s="10" t="s">
        <v>770</v>
      </c>
      <c r="G15" s="10" t="s">
        <v>834</v>
      </c>
      <c r="H15" s="10" t="s">
        <v>772</v>
      </c>
      <c r="I15" s="10" t="s">
        <v>773</v>
      </c>
      <c r="J15" s="10" t="n">
        <v>148</v>
      </c>
      <c r="K15" s="10" t="n">
        <v>269.99</v>
      </c>
    </row>
    <row r="16" customFormat="false" ht="15" hidden="false" customHeight="false" outlineLevel="0" collapsed="false">
      <c r="A16" s="10" t="s">
        <v>864</v>
      </c>
      <c r="B16" s="10" t="s">
        <v>661</v>
      </c>
      <c r="C16" s="10" t="s">
        <v>865</v>
      </c>
      <c r="D16" s="10" t="s">
        <v>866</v>
      </c>
      <c r="E16" s="10" t="s">
        <v>775</v>
      </c>
      <c r="F16" s="10" t="s">
        <v>770</v>
      </c>
      <c r="G16" s="10" t="s">
        <v>834</v>
      </c>
      <c r="H16" s="10" t="s">
        <v>772</v>
      </c>
      <c r="I16" s="10" t="s">
        <v>773</v>
      </c>
      <c r="J16" s="10" t="n">
        <v>95</v>
      </c>
      <c r="K16" s="10" t="n">
        <v>179.99</v>
      </c>
    </row>
    <row r="17" customFormat="false" ht="15" hidden="false" customHeight="false" outlineLevel="0" collapsed="false">
      <c r="A17" s="10" t="s">
        <v>867</v>
      </c>
      <c r="B17" s="10" t="s">
        <v>677</v>
      </c>
      <c r="C17" s="10" t="s">
        <v>868</v>
      </c>
      <c r="D17" s="10" t="s">
        <v>869</v>
      </c>
      <c r="E17" s="10" t="s">
        <v>803</v>
      </c>
      <c r="F17" s="10" t="s">
        <v>805</v>
      </c>
      <c r="G17" s="10" t="s">
        <v>839</v>
      </c>
      <c r="H17" s="10" t="s">
        <v>796</v>
      </c>
      <c r="I17" s="10" t="s">
        <v>806</v>
      </c>
      <c r="J17" s="10" t="n">
        <v>41</v>
      </c>
      <c r="K17" s="10" t="n">
        <v>79.99</v>
      </c>
    </row>
    <row r="18" customFormat="false" ht="15" hidden="false" customHeight="false" outlineLevel="0" collapsed="false">
      <c r="A18" s="10" t="s">
        <v>870</v>
      </c>
      <c r="B18" s="10" t="s">
        <v>681</v>
      </c>
      <c r="C18" s="10" t="s">
        <v>871</v>
      </c>
      <c r="D18" s="10" t="s">
        <v>872</v>
      </c>
      <c r="E18" s="10" t="s">
        <v>817</v>
      </c>
      <c r="F18" s="10" t="s">
        <v>770</v>
      </c>
      <c r="G18" s="10" t="s">
        <v>834</v>
      </c>
      <c r="H18" s="10" t="s">
        <v>820</v>
      </c>
      <c r="I18" s="10" t="s">
        <v>801</v>
      </c>
      <c r="J18" s="10" t="n">
        <v>11.95</v>
      </c>
      <c r="K18" s="10" t="n">
        <v>24.99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16"/>
    <col collapsed="false" customWidth="true" hidden="false" outlineLevel="0" max="4" min="4" style="0" width="12"/>
    <col collapsed="false" customWidth="true" hidden="false" outlineLevel="0" max="5" min="5" style="0" width="15"/>
    <col collapsed="false" customWidth="true" hidden="false" outlineLevel="0" max="6" min="6" style="0" width="17"/>
    <col collapsed="false" customWidth="true" hidden="false" outlineLevel="0" max="7" min="7" style="0" width="12"/>
  </cols>
  <sheetData>
    <row r="1" customFormat="false" ht="15" hidden="false" customHeight="false" outlineLevel="0" collapsed="false">
      <c r="A1" s="8" t="s">
        <v>873</v>
      </c>
    </row>
    <row r="2" customFormat="false" ht="15" hidden="false" customHeight="false" outlineLevel="0" collapsed="false">
      <c r="A2" s="9" t="s">
        <v>874</v>
      </c>
    </row>
    <row r="3" customFormat="false" ht="15" hidden="false" customHeight="false" outlineLevel="0" collapsed="false">
      <c r="A3" s="5" t="s">
        <v>228</v>
      </c>
      <c r="B3" s="5" t="s">
        <v>216</v>
      </c>
      <c r="C3" s="5" t="s">
        <v>230</v>
      </c>
      <c r="D3" s="5" t="s">
        <v>231</v>
      </c>
      <c r="E3" s="5" t="s">
        <v>232</v>
      </c>
      <c r="F3" s="5" t="s">
        <v>233</v>
      </c>
      <c r="G3" s="5" t="s">
        <v>120</v>
      </c>
    </row>
    <row r="4" customFormat="false" ht="15" hidden="false" customHeight="false" outlineLevel="0" collapsed="false">
      <c r="A4" s="10" t="s">
        <v>875</v>
      </c>
      <c r="B4" s="10" t="s">
        <v>831</v>
      </c>
      <c r="C4" s="10" t="s">
        <v>876</v>
      </c>
      <c r="D4" s="10" t="s">
        <v>877</v>
      </c>
      <c r="E4" s="10" t="s">
        <v>878</v>
      </c>
      <c r="F4" s="11" t="b">
        <f aca="false">TRUE()</f>
        <v>1</v>
      </c>
      <c r="G4" s="10" t="s">
        <v>573</v>
      </c>
    </row>
    <row r="5" customFormat="false" ht="15" hidden="false" customHeight="false" outlineLevel="0" collapsed="false">
      <c r="A5" s="10" t="s">
        <v>879</v>
      </c>
      <c r="B5" s="10" t="s">
        <v>831</v>
      </c>
      <c r="C5" s="10" t="s">
        <v>876</v>
      </c>
      <c r="D5" s="10" t="s">
        <v>880</v>
      </c>
      <c r="E5" s="10" t="s">
        <v>881</v>
      </c>
      <c r="F5" s="11" t="b">
        <f aca="false">TRUE()</f>
        <v>1</v>
      </c>
      <c r="G5" s="10" t="s">
        <v>573</v>
      </c>
    </row>
    <row r="6" customFormat="false" ht="15" hidden="false" customHeight="false" outlineLevel="0" collapsed="false">
      <c r="A6" s="10" t="s">
        <v>882</v>
      </c>
      <c r="B6" s="10" t="s">
        <v>831</v>
      </c>
      <c r="C6" s="10" t="s">
        <v>876</v>
      </c>
      <c r="D6" s="10" t="s">
        <v>883</v>
      </c>
      <c r="E6" s="10" t="s">
        <v>884</v>
      </c>
      <c r="F6" s="11" t="b">
        <f aca="false">TRUE()</f>
        <v>1</v>
      </c>
      <c r="G6" s="10" t="s">
        <v>573</v>
      </c>
    </row>
    <row r="7" customFormat="false" ht="15" hidden="false" customHeight="false" outlineLevel="0" collapsed="false">
      <c r="A7" s="10" t="s">
        <v>885</v>
      </c>
      <c r="B7" s="10" t="s">
        <v>831</v>
      </c>
      <c r="C7" s="10" t="s">
        <v>876</v>
      </c>
      <c r="D7" s="10" t="s">
        <v>886</v>
      </c>
      <c r="E7" s="10" t="s">
        <v>887</v>
      </c>
      <c r="F7" s="11" t="b">
        <f aca="false">TRUE()</f>
        <v>1</v>
      </c>
      <c r="G7" s="10" t="s">
        <v>573</v>
      </c>
    </row>
    <row r="8" customFormat="false" ht="15" hidden="false" customHeight="false" outlineLevel="0" collapsed="false">
      <c r="A8" s="10" t="s">
        <v>888</v>
      </c>
      <c r="B8" s="10" t="s">
        <v>831</v>
      </c>
      <c r="C8" s="10" t="s">
        <v>876</v>
      </c>
      <c r="D8" s="10" t="s">
        <v>889</v>
      </c>
      <c r="E8" s="10" t="s">
        <v>890</v>
      </c>
      <c r="F8" s="11" t="b">
        <f aca="false">TRUE()</f>
        <v>1</v>
      </c>
      <c r="G8" s="10" t="s">
        <v>573</v>
      </c>
    </row>
    <row r="9" customFormat="false" ht="15" hidden="false" customHeight="false" outlineLevel="0" collapsed="false">
      <c r="A9" s="10" t="s">
        <v>891</v>
      </c>
      <c r="B9" s="10" t="s">
        <v>831</v>
      </c>
      <c r="C9" s="10" t="s">
        <v>876</v>
      </c>
      <c r="D9" s="10" t="s">
        <v>892</v>
      </c>
      <c r="E9" s="10" t="s">
        <v>893</v>
      </c>
      <c r="F9" s="11" t="b">
        <f aca="false">TRUE()</f>
        <v>1</v>
      </c>
      <c r="G9" s="10" t="s">
        <v>573</v>
      </c>
    </row>
    <row r="10" customFormat="false" ht="15" hidden="false" customHeight="false" outlineLevel="0" collapsed="false">
      <c r="A10" s="10" t="s">
        <v>894</v>
      </c>
      <c r="B10" s="10" t="s">
        <v>831</v>
      </c>
      <c r="C10" s="10" t="s">
        <v>895</v>
      </c>
      <c r="D10" s="10" t="s">
        <v>880</v>
      </c>
      <c r="E10" s="10" t="s">
        <v>896</v>
      </c>
      <c r="F10" s="11" t="b">
        <f aca="false">TRUE()</f>
        <v>1</v>
      </c>
      <c r="G10" s="10" t="s">
        <v>573</v>
      </c>
    </row>
    <row r="11" customFormat="false" ht="15" hidden="false" customHeight="false" outlineLevel="0" collapsed="false">
      <c r="A11" s="10" t="s">
        <v>897</v>
      </c>
      <c r="B11" s="10" t="s">
        <v>831</v>
      </c>
      <c r="C11" s="10" t="s">
        <v>895</v>
      </c>
      <c r="D11" s="10" t="s">
        <v>883</v>
      </c>
      <c r="E11" s="10" t="s">
        <v>898</v>
      </c>
      <c r="F11" s="11" t="b">
        <f aca="false">TRUE()</f>
        <v>1</v>
      </c>
      <c r="G11" s="10" t="s">
        <v>573</v>
      </c>
    </row>
    <row r="12" customFormat="false" ht="15" hidden="false" customHeight="false" outlineLevel="0" collapsed="false">
      <c r="A12" s="10" t="s">
        <v>899</v>
      </c>
      <c r="B12" s="10" t="s">
        <v>842</v>
      </c>
      <c r="C12" s="10" t="s">
        <v>900</v>
      </c>
      <c r="D12" s="10" t="s">
        <v>901</v>
      </c>
      <c r="E12" s="10" t="s">
        <v>902</v>
      </c>
      <c r="F12" s="11" t="b">
        <f aca="false">TRUE()</f>
        <v>1</v>
      </c>
      <c r="G12" s="10" t="s">
        <v>573</v>
      </c>
    </row>
    <row r="13" customFormat="false" ht="15" hidden="false" customHeight="false" outlineLevel="0" collapsed="false">
      <c r="A13" s="10" t="s">
        <v>903</v>
      </c>
      <c r="B13" s="10" t="s">
        <v>842</v>
      </c>
      <c r="C13" s="10" t="s">
        <v>900</v>
      </c>
      <c r="D13" s="10" t="s">
        <v>904</v>
      </c>
      <c r="E13" s="10" t="s">
        <v>905</v>
      </c>
      <c r="F13" s="11" t="b">
        <f aca="false">TRUE()</f>
        <v>1</v>
      </c>
      <c r="G13" s="10" t="s">
        <v>573</v>
      </c>
    </row>
    <row r="14" customFormat="false" ht="15" hidden="false" customHeight="false" outlineLevel="0" collapsed="false">
      <c r="A14" s="10" t="s">
        <v>906</v>
      </c>
      <c r="B14" s="10" t="s">
        <v>842</v>
      </c>
      <c r="C14" s="10" t="s">
        <v>900</v>
      </c>
      <c r="D14" s="10" t="s">
        <v>907</v>
      </c>
      <c r="E14" s="10" t="s">
        <v>908</v>
      </c>
      <c r="F14" s="11" t="b">
        <f aca="false">TRUE()</f>
        <v>1</v>
      </c>
      <c r="G14" s="10" t="s">
        <v>573</v>
      </c>
    </row>
    <row r="15" customFormat="false" ht="15" hidden="false" customHeight="false" outlineLevel="0" collapsed="false">
      <c r="A15" s="10" t="s">
        <v>909</v>
      </c>
      <c r="B15" s="10" t="s">
        <v>842</v>
      </c>
      <c r="C15" s="10" t="s">
        <v>900</v>
      </c>
      <c r="D15" s="10" t="s">
        <v>910</v>
      </c>
      <c r="E15" s="10" t="s">
        <v>911</v>
      </c>
      <c r="F15" s="11" t="b">
        <f aca="false">TRUE()</f>
        <v>1</v>
      </c>
      <c r="G15" s="10" t="s">
        <v>573</v>
      </c>
    </row>
    <row r="16" customFormat="false" ht="15" hidden="false" customHeight="false" outlineLevel="0" collapsed="false">
      <c r="A16" s="10" t="s">
        <v>912</v>
      </c>
      <c r="B16" s="10" t="s">
        <v>842</v>
      </c>
      <c r="C16" s="10" t="s">
        <v>900</v>
      </c>
      <c r="D16" s="10" t="s">
        <v>913</v>
      </c>
      <c r="E16" s="10" t="s">
        <v>914</v>
      </c>
      <c r="F16" s="11" t="b">
        <f aca="false">TRUE()</f>
        <v>1</v>
      </c>
      <c r="G16" s="10" t="s">
        <v>573</v>
      </c>
    </row>
    <row r="17" customFormat="false" ht="15" hidden="false" customHeight="false" outlineLevel="0" collapsed="false">
      <c r="A17" s="10" t="s">
        <v>915</v>
      </c>
      <c r="B17" s="10" t="s">
        <v>842</v>
      </c>
      <c r="C17" s="10" t="s">
        <v>900</v>
      </c>
      <c r="D17" s="10" t="s">
        <v>916</v>
      </c>
      <c r="E17" s="10" t="s">
        <v>917</v>
      </c>
      <c r="F17" s="11" t="b">
        <f aca="false">TRUE()</f>
        <v>1</v>
      </c>
      <c r="G17" s="10" t="s">
        <v>573</v>
      </c>
    </row>
    <row r="18" customFormat="false" ht="15" hidden="false" customHeight="false" outlineLevel="0" collapsed="false">
      <c r="A18" s="10" t="s">
        <v>918</v>
      </c>
      <c r="B18" s="10" t="s">
        <v>848</v>
      </c>
      <c r="C18" s="10" t="s">
        <v>919</v>
      </c>
      <c r="D18" s="10" t="s">
        <v>920</v>
      </c>
      <c r="E18" s="10" t="s">
        <v>921</v>
      </c>
      <c r="F18" s="11" t="b">
        <f aca="false">TRUE()</f>
        <v>1</v>
      </c>
      <c r="G18" s="10" t="s">
        <v>573</v>
      </c>
    </row>
    <row r="19" customFormat="false" ht="15" hidden="false" customHeight="false" outlineLevel="0" collapsed="false">
      <c r="A19" s="10" t="s">
        <v>922</v>
      </c>
      <c r="B19" s="10" t="s">
        <v>848</v>
      </c>
      <c r="C19" s="10" t="s">
        <v>919</v>
      </c>
      <c r="D19" s="10" t="s">
        <v>923</v>
      </c>
      <c r="E19" s="10" t="s">
        <v>924</v>
      </c>
      <c r="F19" s="11" t="b">
        <f aca="false">TRUE()</f>
        <v>1</v>
      </c>
      <c r="G19" s="10" t="s">
        <v>573</v>
      </c>
    </row>
    <row r="20" customFormat="false" ht="15" hidden="false" customHeight="false" outlineLevel="0" collapsed="false">
      <c r="A20" s="10" t="s">
        <v>925</v>
      </c>
      <c r="B20" s="10" t="s">
        <v>848</v>
      </c>
      <c r="C20" s="10" t="s">
        <v>919</v>
      </c>
      <c r="D20" s="10" t="s">
        <v>926</v>
      </c>
      <c r="E20" s="10" t="s">
        <v>927</v>
      </c>
      <c r="F20" s="11" t="b">
        <f aca="false">TRUE()</f>
        <v>1</v>
      </c>
      <c r="G20" s="10" t="s">
        <v>573</v>
      </c>
    </row>
    <row r="21" customFormat="false" ht="15" hidden="false" customHeight="false" outlineLevel="0" collapsed="false">
      <c r="A21" s="10" t="s">
        <v>928</v>
      </c>
      <c r="B21" s="10" t="s">
        <v>848</v>
      </c>
      <c r="C21" s="10" t="s">
        <v>919</v>
      </c>
      <c r="D21" s="10" t="s">
        <v>929</v>
      </c>
      <c r="E21" s="10" t="s">
        <v>930</v>
      </c>
      <c r="F21" s="11" t="b">
        <f aca="false">TRUE()</f>
        <v>1</v>
      </c>
      <c r="G21" s="10" t="s">
        <v>573</v>
      </c>
    </row>
    <row r="22" customFormat="false" ht="15" hidden="false" customHeight="false" outlineLevel="0" collapsed="false">
      <c r="A22" s="10" t="s">
        <v>931</v>
      </c>
      <c r="B22" s="10" t="s">
        <v>867</v>
      </c>
      <c r="C22" s="10" t="s">
        <v>895</v>
      </c>
      <c r="D22" s="10" t="s">
        <v>880</v>
      </c>
      <c r="E22" s="10" t="s">
        <v>932</v>
      </c>
      <c r="F22" s="11" t="b">
        <f aca="false">FALSE()</f>
        <v>0</v>
      </c>
      <c r="G22" s="10" t="s">
        <v>573</v>
      </c>
    </row>
    <row r="23" customFormat="false" ht="15" hidden="false" customHeight="false" outlineLevel="0" collapsed="false">
      <c r="A23" s="10" t="s">
        <v>933</v>
      </c>
      <c r="B23" s="10" t="s">
        <v>867</v>
      </c>
      <c r="C23" s="10" t="s">
        <v>895</v>
      </c>
      <c r="D23" s="10" t="s">
        <v>883</v>
      </c>
      <c r="E23" s="10" t="s">
        <v>934</v>
      </c>
      <c r="F23" s="11" t="b">
        <f aca="false">FALSE()</f>
        <v>0</v>
      </c>
      <c r="G23" s="10" t="s">
        <v>573</v>
      </c>
    </row>
    <row r="24" customFormat="false" ht="15" hidden="false" customHeight="false" outlineLevel="0" collapsed="false">
      <c r="A24" s="10" t="s">
        <v>935</v>
      </c>
      <c r="B24" s="10" t="s">
        <v>867</v>
      </c>
      <c r="C24" s="10" t="s">
        <v>895</v>
      </c>
      <c r="D24" s="10" t="s">
        <v>886</v>
      </c>
      <c r="E24" s="10" t="s">
        <v>936</v>
      </c>
      <c r="F24" s="11" t="b">
        <f aca="false">FALSE()</f>
        <v>0</v>
      </c>
      <c r="G24" s="10"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6"/>
    <col collapsed="false" customWidth="true" hidden="false" outlineLevel="0" max="4" min="4" style="0" width="14"/>
    <col collapsed="false" customWidth="true" hidden="false" outlineLevel="0" max="5" min="5" style="0" width="15"/>
    <col collapsed="false" customWidth="true" hidden="false" outlineLevel="0" max="6" min="6" style="0" width="12"/>
  </cols>
  <sheetData>
    <row r="1" customFormat="false" ht="15" hidden="false" customHeight="false" outlineLevel="0" collapsed="false">
      <c r="A1" s="8" t="s">
        <v>937</v>
      </c>
    </row>
    <row r="2" customFormat="false" ht="15" hidden="false" customHeight="false" outlineLevel="0" collapsed="false">
      <c r="A2" s="9" t="s">
        <v>938</v>
      </c>
    </row>
    <row r="3" customFormat="false" ht="15" hidden="false" customHeight="false" outlineLevel="0" collapsed="false">
      <c r="A3" s="5" t="s">
        <v>228</v>
      </c>
      <c r="B3" s="5" t="s">
        <v>123</v>
      </c>
      <c r="C3" s="5" t="s">
        <v>238</v>
      </c>
      <c r="D3" s="5" t="s">
        <v>240</v>
      </c>
      <c r="E3" s="5" t="s">
        <v>232</v>
      </c>
      <c r="F3" s="5" t="s">
        <v>242</v>
      </c>
    </row>
    <row r="4" customFormat="false" ht="15" hidden="false" customHeight="false" outlineLevel="0" collapsed="false">
      <c r="A4" s="10" t="s">
        <v>879</v>
      </c>
      <c r="B4" s="10" t="s">
        <v>616</v>
      </c>
      <c r="C4" s="10" t="s">
        <v>939</v>
      </c>
      <c r="D4" s="10" t="s">
        <v>940</v>
      </c>
      <c r="E4" s="10" t="s">
        <v>881</v>
      </c>
      <c r="F4" s="10" t="s">
        <v>941</v>
      </c>
    </row>
    <row r="5" customFormat="false" ht="15" hidden="false" customHeight="false" outlineLevel="0" collapsed="false">
      <c r="A5" s="10" t="s">
        <v>882</v>
      </c>
      <c r="B5" s="10" t="s">
        <v>616</v>
      </c>
      <c r="C5" s="10" t="s">
        <v>939</v>
      </c>
      <c r="D5" s="10" t="s">
        <v>942</v>
      </c>
      <c r="E5" s="10" t="s">
        <v>884</v>
      </c>
      <c r="F5" s="10" t="s">
        <v>941</v>
      </c>
    </row>
    <row r="6" customFormat="false" ht="15" hidden="false" customHeight="false" outlineLevel="0" collapsed="false">
      <c r="A6" s="10" t="s">
        <v>906</v>
      </c>
      <c r="B6" s="10" t="s">
        <v>623</v>
      </c>
      <c r="C6" s="10" t="s">
        <v>943</v>
      </c>
      <c r="D6" s="10" t="s">
        <v>944</v>
      </c>
      <c r="E6" s="10" t="s">
        <v>908</v>
      </c>
      <c r="F6" s="10" t="s">
        <v>941</v>
      </c>
    </row>
    <row r="7" customFormat="false" ht="15" hidden="false" customHeight="false" outlineLevel="0" collapsed="false">
      <c r="A7" s="10" t="s">
        <v>912</v>
      </c>
      <c r="B7" s="10" t="s">
        <v>623</v>
      </c>
      <c r="C7" s="10" t="s">
        <v>943</v>
      </c>
      <c r="D7" s="10" t="s">
        <v>945</v>
      </c>
      <c r="E7" s="10" t="s">
        <v>914</v>
      </c>
      <c r="F7" s="10" t="s">
        <v>941</v>
      </c>
    </row>
    <row r="8" customFormat="false" ht="15" hidden="false" customHeight="false" outlineLevel="0" collapsed="false">
      <c r="A8" s="10" t="s">
        <v>922</v>
      </c>
      <c r="B8" s="10" t="s">
        <v>635</v>
      </c>
      <c r="C8" s="10" t="s">
        <v>946</v>
      </c>
      <c r="D8" s="10" t="s">
        <v>947</v>
      </c>
      <c r="E8" s="10" t="s">
        <v>924</v>
      </c>
      <c r="F8" s="10" t="s">
        <v>948</v>
      </c>
    </row>
    <row r="9" customFormat="false" ht="15" hidden="false" customHeight="false" outlineLevel="0" collapsed="false">
      <c r="A9" s="10" t="s">
        <v>933</v>
      </c>
      <c r="B9" s="10" t="s">
        <v>677</v>
      </c>
      <c r="C9" s="10" t="s">
        <v>949</v>
      </c>
      <c r="D9" s="10" t="s">
        <v>950</v>
      </c>
      <c r="E9" s="10" t="s">
        <v>934</v>
      </c>
      <c r="F9" s="10" t="s">
        <v>948</v>
      </c>
    </row>
    <row r="10" customFormat="false" ht="15" hidden="false" customHeight="false" outlineLevel="0" collapsed="false">
      <c r="A10" s="10" t="s">
        <v>951</v>
      </c>
      <c r="B10" s="10" t="s">
        <v>681</v>
      </c>
      <c r="C10" s="10" t="s">
        <v>952</v>
      </c>
      <c r="D10" s="10" t="s">
        <v>953</v>
      </c>
      <c r="E10" s="10" t="s">
        <v>954</v>
      </c>
      <c r="F10" s="10" t="s">
        <v>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2"/>
    <col collapsed="false" customWidth="true" hidden="false" outlineLevel="0" max="5" min="4" style="0" width="13"/>
  </cols>
  <sheetData>
    <row r="1" customFormat="false" ht="15" hidden="false" customHeight="false" outlineLevel="0" collapsed="false">
      <c r="A1" s="8" t="s">
        <v>955</v>
      </c>
    </row>
    <row r="2" customFormat="false" ht="15" hidden="false" customHeight="false" outlineLevel="0" collapsed="false">
      <c r="A2" s="9" t="s">
        <v>956</v>
      </c>
    </row>
    <row r="3" customFormat="false" ht="15" hidden="false" customHeight="false" outlineLevel="0" collapsed="false">
      <c r="A3" s="5" t="s">
        <v>245</v>
      </c>
      <c r="B3" s="5" t="s">
        <v>247</v>
      </c>
      <c r="C3" s="5" t="s">
        <v>231</v>
      </c>
      <c r="D3" s="5" t="s">
        <v>248</v>
      </c>
      <c r="E3" s="5" t="s">
        <v>250</v>
      </c>
    </row>
    <row r="4" customFormat="false" ht="15" hidden="false" customHeight="false" outlineLevel="0" collapsed="false">
      <c r="A4" s="10" t="s">
        <v>796</v>
      </c>
      <c r="B4" s="10" t="s">
        <v>957</v>
      </c>
      <c r="C4" s="10" t="s">
        <v>877</v>
      </c>
      <c r="D4" s="10" t="n">
        <v>0.08</v>
      </c>
      <c r="E4" s="11" t="b">
        <f aca="false">FALSE()</f>
        <v>0</v>
      </c>
    </row>
    <row r="5" customFormat="false" ht="15" hidden="false" customHeight="false" outlineLevel="0" collapsed="false">
      <c r="A5" s="10" t="s">
        <v>796</v>
      </c>
      <c r="B5" s="10" t="s">
        <v>957</v>
      </c>
      <c r="C5" s="10" t="s">
        <v>880</v>
      </c>
      <c r="D5" s="10" t="n">
        <v>0.22</v>
      </c>
      <c r="E5" s="11" t="b">
        <f aca="false">TRUE()</f>
        <v>1</v>
      </c>
    </row>
    <row r="6" customFormat="false" ht="15" hidden="false" customHeight="false" outlineLevel="0" collapsed="false">
      <c r="A6" s="10" t="s">
        <v>796</v>
      </c>
      <c r="B6" s="10" t="s">
        <v>957</v>
      </c>
      <c r="C6" s="10" t="s">
        <v>883</v>
      </c>
      <c r="D6" s="10" t="n">
        <v>0.28</v>
      </c>
      <c r="E6" s="11" t="b">
        <f aca="false">TRUE()</f>
        <v>1</v>
      </c>
    </row>
    <row r="7" customFormat="false" ht="15" hidden="false" customHeight="false" outlineLevel="0" collapsed="false">
      <c r="A7" s="10" t="s">
        <v>796</v>
      </c>
      <c r="B7" s="10" t="s">
        <v>957</v>
      </c>
      <c r="C7" s="10" t="s">
        <v>886</v>
      </c>
      <c r="D7" s="10" t="n">
        <v>0.24</v>
      </c>
      <c r="E7" s="11" t="b">
        <f aca="false">TRUE()</f>
        <v>1</v>
      </c>
    </row>
    <row r="8" customFormat="false" ht="15" hidden="false" customHeight="false" outlineLevel="0" collapsed="false">
      <c r="A8" s="10" t="s">
        <v>796</v>
      </c>
      <c r="B8" s="10" t="s">
        <v>957</v>
      </c>
      <c r="C8" s="10" t="s">
        <v>889</v>
      </c>
      <c r="D8" s="10" t="n">
        <v>0.13</v>
      </c>
      <c r="E8" s="11" t="b">
        <f aca="false">FALSE()</f>
        <v>0</v>
      </c>
    </row>
    <row r="9" customFormat="false" ht="15" hidden="false" customHeight="false" outlineLevel="0" collapsed="false">
      <c r="A9" s="10" t="s">
        <v>796</v>
      </c>
      <c r="B9" s="10" t="s">
        <v>957</v>
      </c>
      <c r="C9" s="10" t="s">
        <v>892</v>
      </c>
      <c r="D9" s="10" t="n">
        <v>0.05</v>
      </c>
      <c r="E9" s="11" t="b">
        <f aca="false">FALSE()</f>
        <v>0</v>
      </c>
    </row>
    <row r="10" customFormat="false" ht="15" hidden="false" customHeight="false" outlineLevel="0" collapsed="false">
      <c r="A10" s="10" t="s">
        <v>772</v>
      </c>
      <c r="B10" s="10" t="s">
        <v>958</v>
      </c>
      <c r="C10" s="10" t="s">
        <v>959</v>
      </c>
      <c r="D10" s="10" t="n">
        <v>0.03</v>
      </c>
      <c r="E10" s="11" t="b">
        <f aca="false">FALSE()</f>
        <v>0</v>
      </c>
    </row>
    <row r="11" customFormat="false" ht="15" hidden="false" customHeight="false" outlineLevel="0" collapsed="false">
      <c r="A11" s="10" t="s">
        <v>772</v>
      </c>
      <c r="B11" s="10" t="s">
        <v>958</v>
      </c>
      <c r="C11" s="10" t="s">
        <v>960</v>
      </c>
      <c r="D11" s="10" t="n">
        <v>0.09</v>
      </c>
      <c r="E11" s="11" t="b">
        <f aca="false">FALSE()</f>
        <v>0</v>
      </c>
    </row>
    <row r="12" customFormat="false" ht="15" hidden="false" customHeight="false" outlineLevel="0" collapsed="false">
      <c r="A12" s="10" t="s">
        <v>772</v>
      </c>
      <c r="B12" s="10" t="s">
        <v>958</v>
      </c>
      <c r="C12" s="10" t="s">
        <v>961</v>
      </c>
      <c r="D12" s="10" t="n">
        <v>0.14</v>
      </c>
      <c r="E12" s="11" t="b">
        <f aca="false">TRUE()</f>
        <v>1</v>
      </c>
    </row>
    <row r="13" customFormat="false" ht="15" hidden="false" customHeight="false" outlineLevel="0" collapsed="false">
      <c r="A13" s="10" t="s">
        <v>772</v>
      </c>
      <c r="B13" s="10" t="s">
        <v>958</v>
      </c>
      <c r="C13" s="10" t="s">
        <v>962</v>
      </c>
      <c r="D13" s="10" t="n">
        <v>0.18</v>
      </c>
      <c r="E13" s="11" t="b">
        <f aca="false">TRUE()</f>
        <v>1</v>
      </c>
    </row>
    <row r="14" customFormat="false" ht="15" hidden="false" customHeight="false" outlineLevel="0" collapsed="false">
      <c r="A14" s="10" t="s">
        <v>772</v>
      </c>
      <c r="B14" s="10" t="s">
        <v>958</v>
      </c>
      <c r="C14" s="10" t="s">
        <v>963</v>
      </c>
      <c r="D14" s="10" t="n">
        <v>0.12</v>
      </c>
      <c r="E14" s="11" t="b">
        <f aca="false">TRUE()</f>
        <v>1</v>
      </c>
    </row>
    <row r="15" customFormat="false" ht="15" hidden="false" customHeight="false" outlineLevel="0" collapsed="false">
      <c r="A15" s="10" t="s">
        <v>772</v>
      </c>
      <c r="B15" s="10" t="s">
        <v>958</v>
      </c>
      <c r="C15" s="10" t="s">
        <v>964</v>
      </c>
      <c r="D15" s="10" t="n">
        <v>0.16</v>
      </c>
      <c r="E15" s="11" t="b">
        <f aca="false">TRUE()</f>
        <v>1</v>
      </c>
    </row>
    <row r="16" customFormat="false" ht="15" hidden="false" customHeight="false" outlineLevel="0" collapsed="false">
      <c r="A16" s="10" t="s">
        <v>772</v>
      </c>
      <c r="B16" s="10" t="s">
        <v>958</v>
      </c>
      <c r="C16" s="10" t="s">
        <v>965</v>
      </c>
      <c r="D16" s="10" t="n">
        <v>0.14</v>
      </c>
      <c r="E16" s="11" t="b">
        <f aca="false">TRUE()</f>
        <v>1</v>
      </c>
    </row>
    <row r="17" customFormat="false" ht="15" hidden="false" customHeight="false" outlineLevel="0" collapsed="false">
      <c r="A17" s="10" t="s">
        <v>772</v>
      </c>
      <c r="B17" s="10" t="s">
        <v>958</v>
      </c>
      <c r="C17" s="10" t="s">
        <v>966</v>
      </c>
      <c r="D17" s="10" t="n">
        <v>0.09</v>
      </c>
      <c r="E17" s="11" t="b">
        <f aca="false">FALSE()</f>
        <v>0</v>
      </c>
    </row>
    <row r="18" customFormat="false" ht="15" hidden="false" customHeight="false" outlineLevel="0" collapsed="false">
      <c r="A18" s="10" t="s">
        <v>772</v>
      </c>
      <c r="B18" s="10" t="s">
        <v>958</v>
      </c>
      <c r="C18" s="10" t="s">
        <v>967</v>
      </c>
      <c r="D18" s="10" t="n">
        <v>0.05</v>
      </c>
      <c r="E18" s="11" t="b">
        <f aca="false">FALSE()</f>
        <v>0</v>
      </c>
    </row>
    <row r="19" customFormat="false" ht="15" hidden="false" customHeight="false" outlineLevel="0" collapsed="false">
      <c r="A19" s="10" t="s">
        <v>789</v>
      </c>
      <c r="B19" s="10" t="s">
        <v>968</v>
      </c>
      <c r="C19" s="10" t="s">
        <v>920</v>
      </c>
      <c r="D19" s="10" t="n">
        <v>0.1</v>
      </c>
      <c r="E19" s="11" t="b">
        <f aca="false">FALSE()</f>
        <v>0</v>
      </c>
    </row>
    <row r="20" customFormat="false" ht="15" hidden="false" customHeight="false" outlineLevel="0" collapsed="false">
      <c r="A20" s="10" t="s">
        <v>789</v>
      </c>
      <c r="B20" s="10" t="s">
        <v>968</v>
      </c>
      <c r="C20" s="10" t="s">
        <v>923</v>
      </c>
      <c r="D20" s="10" t="n">
        <v>0.16</v>
      </c>
      <c r="E20" s="11" t="b">
        <f aca="false">TRUE()</f>
        <v>1</v>
      </c>
    </row>
    <row r="21" customFormat="false" ht="15" hidden="false" customHeight="false" outlineLevel="0" collapsed="false">
      <c r="A21" s="10" t="s">
        <v>789</v>
      </c>
      <c r="B21" s="10" t="s">
        <v>968</v>
      </c>
      <c r="C21" s="10" t="s">
        <v>926</v>
      </c>
      <c r="D21" s="10" t="n">
        <v>0.14</v>
      </c>
      <c r="E21" s="11" t="b">
        <f aca="false">TRUE()</f>
        <v>1</v>
      </c>
    </row>
    <row r="22" customFormat="false" ht="15" hidden="false" customHeight="false" outlineLevel="0" collapsed="false">
      <c r="A22" s="10" t="s">
        <v>789</v>
      </c>
      <c r="B22" s="10" t="s">
        <v>968</v>
      </c>
      <c r="C22" s="10" t="s">
        <v>929</v>
      </c>
      <c r="D22" s="10" t="n">
        <v>0.15</v>
      </c>
      <c r="E22" s="11" t="b">
        <f aca="false">TRUE()</f>
        <v>1</v>
      </c>
    </row>
    <row r="23" customFormat="false" ht="15" hidden="false" customHeight="false" outlineLevel="0" collapsed="false">
      <c r="A23" s="10" t="s">
        <v>789</v>
      </c>
      <c r="B23" s="10" t="s">
        <v>968</v>
      </c>
      <c r="C23" s="10" t="s">
        <v>969</v>
      </c>
      <c r="D23" s="10" t="n">
        <v>0.12</v>
      </c>
      <c r="E23" s="11" t="b">
        <f aca="false">TRUE()</f>
        <v>1</v>
      </c>
    </row>
    <row r="24" customFormat="false" ht="15" hidden="false" customHeight="false" outlineLevel="0" collapsed="false">
      <c r="A24" s="10" t="s">
        <v>789</v>
      </c>
      <c r="B24" s="10" t="s">
        <v>968</v>
      </c>
      <c r="C24" s="10" t="s">
        <v>970</v>
      </c>
      <c r="D24" s="10" t="n">
        <v>0.12</v>
      </c>
      <c r="E24" s="11" t="b">
        <f aca="false">FALSE()</f>
        <v>0</v>
      </c>
    </row>
    <row r="25" customFormat="false" ht="15" hidden="false" customHeight="false" outlineLevel="0" collapsed="false">
      <c r="A25" s="10" t="s">
        <v>789</v>
      </c>
      <c r="B25" s="10" t="s">
        <v>968</v>
      </c>
      <c r="C25" s="10" t="s">
        <v>971</v>
      </c>
      <c r="D25" s="10" t="n">
        <v>0.09</v>
      </c>
      <c r="E25" s="11" t="b">
        <f aca="false">FALSE()</f>
        <v>0</v>
      </c>
    </row>
    <row r="26" customFormat="false" ht="15" hidden="false" customHeight="false" outlineLevel="0" collapsed="false">
      <c r="A26" s="10" t="s">
        <v>789</v>
      </c>
      <c r="B26" s="10" t="s">
        <v>968</v>
      </c>
      <c r="C26" s="10" t="s">
        <v>972</v>
      </c>
      <c r="D26" s="10" t="n">
        <v>0.12</v>
      </c>
      <c r="E26" s="1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4" min="3" style="0" width="12"/>
  </cols>
  <sheetData>
    <row r="1" customFormat="false" ht="15" hidden="false" customHeight="false" outlineLevel="0" collapsed="false">
      <c r="A1" s="8" t="s">
        <v>973</v>
      </c>
    </row>
    <row r="2" customFormat="false" ht="15" hidden="false" customHeight="false" outlineLevel="0" collapsed="false">
      <c r="A2" s="9" t="s">
        <v>974</v>
      </c>
    </row>
    <row r="3" customFormat="false" ht="15" hidden="false" customHeight="false" outlineLevel="0" collapsed="false">
      <c r="A3" s="5" t="s">
        <v>245</v>
      </c>
      <c r="B3" s="5" t="s">
        <v>247</v>
      </c>
      <c r="C3" s="5" t="s">
        <v>254</v>
      </c>
      <c r="D3" s="5" t="s">
        <v>255</v>
      </c>
    </row>
    <row r="4" customFormat="false" ht="15" hidden="false" customHeight="false" outlineLevel="0" collapsed="false">
      <c r="A4" s="10" t="s">
        <v>806</v>
      </c>
      <c r="B4" s="10" t="s">
        <v>975</v>
      </c>
      <c r="C4" s="10" t="s">
        <v>976</v>
      </c>
      <c r="D4" s="10" t="n">
        <v>1.6</v>
      </c>
    </row>
    <row r="5" customFormat="false" ht="15" hidden="false" customHeight="false" outlineLevel="0" collapsed="false">
      <c r="A5" s="10" t="s">
        <v>806</v>
      </c>
      <c r="B5" s="10" t="s">
        <v>975</v>
      </c>
      <c r="C5" s="10" t="s">
        <v>977</v>
      </c>
      <c r="D5" s="10" t="n">
        <v>1.5</v>
      </c>
    </row>
    <row r="6" customFormat="false" ht="15" hidden="false" customHeight="false" outlineLevel="0" collapsed="false">
      <c r="A6" s="10" t="s">
        <v>806</v>
      </c>
      <c r="B6" s="10" t="s">
        <v>975</v>
      </c>
      <c r="C6" s="10" t="s">
        <v>978</v>
      </c>
      <c r="D6" s="10" t="n">
        <v>1.3</v>
      </c>
    </row>
    <row r="7" customFormat="false" ht="15" hidden="false" customHeight="false" outlineLevel="0" collapsed="false">
      <c r="A7" s="10" t="s">
        <v>806</v>
      </c>
      <c r="B7" s="10" t="s">
        <v>975</v>
      </c>
      <c r="C7" s="10" t="s">
        <v>979</v>
      </c>
      <c r="D7" s="10" t="n">
        <v>0.8</v>
      </c>
    </row>
    <row r="8" customFormat="false" ht="15" hidden="false" customHeight="false" outlineLevel="0" collapsed="false">
      <c r="A8" s="10" t="s">
        <v>806</v>
      </c>
      <c r="B8" s="10" t="s">
        <v>975</v>
      </c>
      <c r="C8" s="10" t="s">
        <v>980</v>
      </c>
      <c r="D8" s="10" t="n">
        <v>0.5</v>
      </c>
    </row>
    <row r="9" customFormat="false" ht="15" hidden="false" customHeight="false" outlineLevel="0" collapsed="false">
      <c r="A9" s="10" t="s">
        <v>806</v>
      </c>
      <c r="B9" s="10" t="s">
        <v>975</v>
      </c>
      <c r="C9" s="10" t="s">
        <v>981</v>
      </c>
      <c r="D9" s="10" t="n">
        <v>0.3</v>
      </c>
    </row>
    <row r="10" customFormat="false" ht="15" hidden="false" customHeight="false" outlineLevel="0" collapsed="false">
      <c r="A10" s="10" t="s">
        <v>806</v>
      </c>
      <c r="B10" s="10" t="s">
        <v>975</v>
      </c>
      <c r="C10" s="10" t="s">
        <v>982</v>
      </c>
      <c r="D10" s="10" t="n">
        <v>0.3</v>
      </c>
    </row>
    <row r="11" customFormat="false" ht="15" hidden="false" customHeight="false" outlineLevel="0" collapsed="false">
      <c r="A11" s="10" t="s">
        <v>806</v>
      </c>
      <c r="B11" s="10" t="s">
        <v>975</v>
      </c>
      <c r="C11" s="10" t="s">
        <v>983</v>
      </c>
      <c r="D11" s="10" t="n">
        <v>0.4</v>
      </c>
    </row>
    <row r="12" customFormat="false" ht="15" hidden="false" customHeight="false" outlineLevel="0" collapsed="false">
      <c r="A12" s="10" t="s">
        <v>806</v>
      </c>
      <c r="B12" s="10" t="s">
        <v>975</v>
      </c>
      <c r="C12" s="10" t="s">
        <v>984</v>
      </c>
      <c r="D12" s="10" t="n">
        <v>0.7</v>
      </c>
    </row>
    <row r="13" customFormat="false" ht="15" hidden="false" customHeight="false" outlineLevel="0" collapsed="false">
      <c r="A13" s="10" t="s">
        <v>806</v>
      </c>
      <c r="B13" s="10" t="s">
        <v>975</v>
      </c>
      <c r="C13" s="10" t="s">
        <v>985</v>
      </c>
      <c r="D13" s="10" t="n">
        <v>1.3</v>
      </c>
    </row>
    <row r="14" customFormat="false" ht="15" hidden="false" customHeight="false" outlineLevel="0" collapsed="false">
      <c r="A14" s="10" t="s">
        <v>806</v>
      </c>
      <c r="B14" s="10" t="s">
        <v>975</v>
      </c>
      <c r="C14" s="10" t="s">
        <v>986</v>
      </c>
      <c r="D14" s="10" t="n">
        <v>1.6</v>
      </c>
    </row>
    <row r="15" customFormat="false" ht="15" hidden="false" customHeight="false" outlineLevel="0" collapsed="false">
      <c r="A15" s="10" t="s">
        <v>806</v>
      </c>
      <c r="B15" s="10" t="s">
        <v>975</v>
      </c>
      <c r="C15" s="10" t="s">
        <v>987</v>
      </c>
      <c r="D15" s="10" t="n">
        <v>1.7</v>
      </c>
    </row>
    <row r="16" customFormat="false" ht="15" hidden="false" customHeight="false" outlineLevel="0" collapsed="false">
      <c r="A16" s="10" t="s">
        <v>801</v>
      </c>
      <c r="B16" s="10" t="s">
        <v>988</v>
      </c>
      <c r="C16" s="10" t="s">
        <v>985</v>
      </c>
      <c r="D16" s="10" t="n">
        <v>1.5</v>
      </c>
    </row>
    <row r="17" customFormat="false" ht="15" hidden="false" customHeight="false" outlineLevel="0" collapsed="false">
      <c r="A17" s="10" t="s">
        <v>801</v>
      </c>
      <c r="B17" s="10" t="s">
        <v>988</v>
      </c>
      <c r="C17" s="10" t="s">
        <v>986</v>
      </c>
      <c r="D17" s="10" t="n">
        <v>1.8</v>
      </c>
    </row>
    <row r="18" customFormat="false" ht="15" hidden="false" customHeight="false" outlineLevel="0" collapsed="false">
      <c r="A18" s="10" t="s">
        <v>801</v>
      </c>
      <c r="B18" s="10" t="s">
        <v>988</v>
      </c>
      <c r="C18" s="10" t="s">
        <v>987</v>
      </c>
      <c r="D18" s="10" t="n">
        <v>1.9</v>
      </c>
    </row>
    <row r="19" customFormat="false" ht="15" hidden="false" customHeight="false" outlineLevel="0" collapsed="false">
      <c r="A19" s="10" t="s">
        <v>801</v>
      </c>
      <c r="B19" s="10" t="s">
        <v>988</v>
      </c>
      <c r="C19" s="10" t="s">
        <v>976</v>
      </c>
      <c r="D19" s="10" t="n">
        <v>1.4</v>
      </c>
    </row>
    <row r="20" customFormat="false" ht="15" hidden="false" customHeight="false" outlineLevel="0" collapsed="false">
      <c r="A20" s="10" t="s">
        <v>801</v>
      </c>
      <c r="B20" s="10" t="s">
        <v>988</v>
      </c>
      <c r="C20" s="10" t="s">
        <v>981</v>
      </c>
      <c r="D20" s="10" t="n">
        <v>0.3</v>
      </c>
    </row>
    <row r="21" customFormat="false" ht="15" hidden="false" customHeight="false" outlineLevel="0" collapsed="false">
      <c r="A21" s="10" t="s">
        <v>801</v>
      </c>
      <c r="B21" s="10" t="s">
        <v>988</v>
      </c>
      <c r="C21" s="10" t="s">
        <v>982</v>
      </c>
      <c r="D21" s="10" t="n">
        <v>0.2</v>
      </c>
    </row>
    <row r="22" customFormat="false" ht="15" hidden="false" customHeight="false" outlineLevel="0" collapsed="false">
      <c r="A22" s="10" t="s">
        <v>797</v>
      </c>
      <c r="B22" s="10" t="s">
        <v>989</v>
      </c>
      <c r="C22" s="10" t="s">
        <v>980</v>
      </c>
      <c r="D22" s="10" t="n">
        <v>1.15</v>
      </c>
    </row>
    <row r="23" customFormat="false" ht="15" hidden="false" customHeight="false" outlineLevel="0" collapsed="false">
      <c r="A23" s="10" t="s">
        <v>797</v>
      </c>
      <c r="B23" s="10" t="s">
        <v>989</v>
      </c>
      <c r="C23" s="10" t="s">
        <v>981</v>
      </c>
      <c r="D23" s="10" t="n">
        <v>1.25</v>
      </c>
    </row>
    <row r="24" customFormat="false" ht="15" hidden="false" customHeight="false" outlineLevel="0" collapsed="false">
      <c r="A24" s="10" t="s">
        <v>797</v>
      </c>
      <c r="B24" s="10" t="s">
        <v>989</v>
      </c>
      <c r="C24" s="10" t="s">
        <v>982</v>
      </c>
      <c r="D24" s="10" t="n">
        <v>1.25</v>
      </c>
    </row>
    <row r="25" customFormat="false" ht="15" hidden="false" customHeight="false" outlineLevel="0" collapsed="false">
      <c r="A25" s="10" t="s">
        <v>797</v>
      </c>
      <c r="B25" s="10" t="s">
        <v>989</v>
      </c>
      <c r="C25" s="10" t="s">
        <v>987</v>
      </c>
      <c r="D25" s="10" t="n">
        <v>0.9</v>
      </c>
    </row>
    <row r="26" customFormat="false" ht="15" hidden="false" customHeight="false" outlineLevel="0" collapsed="false">
      <c r="A26" s="10" t="s">
        <v>773</v>
      </c>
      <c r="B26" s="10" t="s">
        <v>990</v>
      </c>
      <c r="C26" s="10" t="s">
        <v>984</v>
      </c>
      <c r="D26" s="10" t="n">
        <v>1.2</v>
      </c>
    </row>
    <row r="27" customFormat="false" ht="15" hidden="false" customHeight="false" outlineLevel="0" collapsed="false">
      <c r="A27" s="10" t="s">
        <v>773</v>
      </c>
      <c r="B27" s="10" t="s">
        <v>990</v>
      </c>
      <c r="C27" s="10" t="s">
        <v>985</v>
      </c>
      <c r="D27" s="10" t="n">
        <v>1.25</v>
      </c>
    </row>
    <row r="28" customFormat="false" ht="15" hidden="false" customHeight="false" outlineLevel="0" collapsed="false">
      <c r="A28" s="10" t="s">
        <v>773</v>
      </c>
      <c r="B28" s="10" t="s">
        <v>990</v>
      </c>
      <c r="C28" s="10" t="s">
        <v>976</v>
      </c>
      <c r="D28" s="10" t="n">
        <v>1.1</v>
      </c>
    </row>
    <row r="29" customFormat="false" ht="15" hidden="false" customHeight="false" outlineLevel="0" collapsed="false">
      <c r="A29" s="10" t="s">
        <v>773</v>
      </c>
      <c r="B29" s="10" t="s">
        <v>990</v>
      </c>
      <c r="C29" s="10" t="s">
        <v>982</v>
      </c>
      <c r="D29" s="10" t="n">
        <v>0.85</v>
      </c>
    </row>
    <row r="30" customFormat="false" ht="15" hidden="false" customHeight="false" outlineLevel="0" collapsed="false">
      <c r="A30" s="10" t="s">
        <v>784</v>
      </c>
      <c r="B30" s="10" t="s">
        <v>991</v>
      </c>
      <c r="C30" s="10" t="s">
        <v>992</v>
      </c>
      <c r="D30" s="1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15"/>
    <col collapsed="false" customWidth="true" hidden="false" outlineLevel="0" max="4" min="4" style="0" width="17"/>
    <col collapsed="false" customWidth="true" hidden="false" outlineLevel="0" max="5" min="5" style="0" width="22"/>
    <col collapsed="false" customWidth="true" hidden="false" outlineLevel="0" max="6" min="6" style="0" width="12"/>
    <col collapsed="false" customWidth="true" hidden="false" outlineLevel="0" max="7" min="7" style="0" width="14"/>
  </cols>
  <sheetData>
    <row r="1" customFormat="false" ht="15" hidden="false" customHeight="false" outlineLevel="0" collapsed="false">
      <c r="A1" s="8" t="s">
        <v>993</v>
      </c>
    </row>
    <row r="2" customFormat="false" ht="15" hidden="false" customHeight="false" outlineLevel="0" collapsed="false">
      <c r="A2" s="9" t="s">
        <v>994</v>
      </c>
    </row>
    <row r="3" customFormat="false" ht="15" hidden="false" customHeight="false" outlineLevel="0" collapsed="false">
      <c r="A3" s="5" t="s">
        <v>258</v>
      </c>
      <c r="B3" s="5" t="s">
        <v>260</v>
      </c>
      <c r="C3" s="5" t="s">
        <v>262</v>
      </c>
      <c r="D3" s="5" t="s">
        <v>263</v>
      </c>
      <c r="E3" s="5" t="s">
        <v>265</v>
      </c>
      <c r="F3" s="5" t="s">
        <v>266</v>
      </c>
      <c r="G3" s="5" t="s">
        <v>242</v>
      </c>
    </row>
    <row r="4" customFormat="false" ht="15" hidden="false" customHeight="false" outlineLevel="0" collapsed="false">
      <c r="A4" s="10" t="s">
        <v>995</v>
      </c>
      <c r="B4" s="10" t="s">
        <v>996</v>
      </c>
      <c r="C4" s="10" t="s">
        <v>803</v>
      </c>
      <c r="D4" s="10" t="s">
        <v>997</v>
      </c>
      <c r="E4" s="10" t="s">
        <v>998</v>
      </c>
      <c r="F4" s="10" t="n">
        <v>3.4</v>
      </c>
      <c r="G4" s="10" t="s">
        <v>999</v>
      </c>
    </row>
    <row r="5" customFormat="false" ht="15" hidden="false" customHeight="false" outlineLevel="0" collapsed="false">
      <c r="A5" s="10" t="s">
        <v>1000</v>
      </c>
      <c r="B5" s="10" t="s">
        <v>996</v>
      </c>
      <c r="C5" s="10" t="s">
        <v>767</v>
      </c>
      <c r="D5" s="10" t="s">
        <v>997</v>
      </c>
      <c r="E5" s="10" t="s">
        <v>1001</v>
      </c>
      <c r="F5" s="10" t="n">
        <v>1.8</v>
      </c>
      <c r="G5" s="10" t="s">
        <v>999</v>
      </c>
    </row>
    <row r="6" customFormat="false" ht="15" hidden="false" customHeight="false" outlineLevel="0" collapsed="false">
      <c r="A6" s="10" t="s">
        <v>1002</v>
      </c>
      <c r="B6" s="10" t="s">
        <v>1003</v>
      </c>
      <c r="C6" s="10" t="s">
        <v>867</v>
      </c>
      <c r="D6" s="10" t="s">
        <v>997</v>
      </c>
      <c r="E6" s="10" t="s">
        <v>998</v>
      </c>
      <c r="F6" s="10" t="n">
        <v>4.1</v>
      </c>
      <c r="G6" s="10" t="s">
        <v>1004</v>
      </c>
    </row>
    <row r="7" customFormat="false" ht="15" hidden="false" customHeight="false" outlineLevel="0" collapsed="false">
      <c r="A7" s="10" t="s">
        <v>1005</v>
      </c>
      <c r="B7" s="10" t="s">
        <v>1003</v>
      </c>
      <c r="C7" s="10" t="s">
        <v>840</v>
      </c>
      <c r="D7" s="10" t="s">
        <v>997</v>
      </c>
      <c r="E7" s="10" t="s">
        <v>1006</v>
      </c>
      <c r="F7" s="10" t="n">
        <v>2.2</v>
      </c>
      <c r="G7" s="10" t="s">
        <v>1004</v>
      </c>
    </row>
    <row r="8" customFormat="false" ht="15" hidden="false" customHeight="false" outlineLevel="0" collapsed="false">
      <c r="A8" s="10" t="s">
        <v>1007</v>
      </c>
      <c r="B8" s="10" t="s">
        <v>996</v>
      </c>
      <c r="C8" s="10" t="s">
        <v>813</v>
      </c>
      <c r="D8" s="10" t="s">
        <v>1008</v>
      </c>
      <c r="E8" s="10" t="s">
        <v>1009</v>
      </c>
      <c r="F8" s="10" t="n">
        <v>1</v>
      </c>
      <c r="G8" s="10" t="s">
        <v>540</v>
      </c>
    </row>
    <row r="9" customFormat="false" ht="15" hidden="false" customHeight="false" outlineLevel="0" collapsed="false">
      <c r="A9" s="10" t="s">
        <v>1010</v>
      </c>
      <c r="B9" s="10" t="s">
        <v>1003</v>
      </c>
      <c r="C9" s="10" t="s">
        <v>842</v>
      </c>
      <c r="D9" s="10" t="s">
        <v>1011</v>
      </c>
      <c r="E9" s="10" t="s">
        <v>1012</v>
      </c>
      <c r="F9" s="10" t="n">
        <v>1</v>
      </c>
      <c r="G9" s="10" t="s">
        <v>540</v>
      </c>
    </row>
    <row r="10" customFormat="false" ht="15" hidden="false" customHeight="false" outlineLevel="0" collapsed="false">
      <c r="A10" s="10" t="s">
        <v>1013</v>
      </c>
      <c r="B10" s="10" t="s">
        <v>996</v>
      </c>
      <c r="C10" s="10" t="s">
        <v>810</v>
      </c>
      <c r="D10" s="10" t="s">
        <v>1011</v>
      </c>
      <c r="E10" s="10" t="s">
        <v>1014</v>
      </c>
      <c r="F10" s="10" t="n">
        <v>1</v>
      </c>
      <c r="G10" s="10" t="s">
        <v>540</v>
      </c>
    </row>
    <row r="11" customFormat="false" ht="15" hidden="false" customHeight="false" outlineLevel="0" collapsed="false">
      <c r="A11" s="10" t="s">
        <v>1015</v>
      </c>
      <c r="B11" s="10" t="s">
        <v>1003</v>
      </c>
      <c r="C11" s="10" t="s">
        <v>831</v>
      </c>
      <c r="D11" s="10" t="s">
        <v>1016</v>
      </c>
      <c r="E11" s="10" t="s">
        <v>1017</v>
      </c>
      <c r="F11" s="10" t="n">
        <v>1</v>
      </c>
      <c r="G11" s="10" t="s">
        <v>540</v>
      </c>
    </row>
    <row r="12" customFormat="false" ht="15" hidden="false" customHeight="false" outlineLevel="0" collapsed="false">
      <c r="A12" s="10" t="s">
        <v>1018</v>
      </c>
      <c r="B12" s="10" t="s">
        <v>996</v>
      </c>
      <c r="C12" s="10" t="s">
        <v>785</v>
      </c>
      <c r="D12" s="10" t="s">
        <v>1008</v>
      </c>
      <c r="E12" s="10" t="s">
        <v>1019</v>
      </c>
      <c r="F12" s="10" t="n">
        <v>1</v>
      </c>
      <c r="G12" s="10" t="s">
        <v>540</v>
      </c>
    </row>
    <row r="13" customFormat="false" ht="15" hidden="false" customHeight="false" outlineLevel="0" collapsed="false">
      <c r="A13" s="10" t="s">
        <v>1020</v>
      </c>
      <c r="B13" s="10" t="s">
        <v>1003</v>
      </c>
      <c r="C13" s="10" t="s">
        <v>864</v>
      </c>
      <c r="D13" s="10" t="s">
        <v>1008</v>
      </c>
      <c r="E13" s="10" t="s">
        <v>1021</v>
      </c>
      <c r="F13" s="10" t="n">
        <v>1</v>
      </c>
      <c r="G13" s="10" t="s">
        <v>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4" min="3" style="0" width="13"/>
    <col collapsed="false" customWidth="true" hidden="false" outlineLevel="0" max="5" min="5" style="0" width="17"/>
    <col collapsed="false" customWidth="true" hidden="false" outlineLevel="0" max="6" min="6" style="0" width="16"/>
    <col collapsed="false" customWidth="true" hidden="false" outlineLevel="0" max="7" min="7" style="0" width="27"/>
    <col collapsed="false" customWidth="true" hidden="false" outlineLevel="0" max="8" min="8" style="0" width="17"/>
    <col collapsed="false" customWidth="true" hidden="false" outlineLevel="0" max="9" min="9" style="0" width="18"/>
  </cols>
  <sheetData>
    <row r="1" customFormat="false" ht="15" hidden="false" customHeight="false" outlineLevel="0" collapsed="false">
      <c r="A1" s="8" t="s">
        <v>1022</v>
      </c>
    </row>
    <row r="2" customFormat="false" ht="15" hidden="false" customHeight="false" outlineLevel="0" collapsed="false">
      <c r="A2" s="9" t="s">
        <v>1023</v>
      </c>
    </row>
    <row r="3" customFormat="false" ht="15" hidden="false" customHeight="false" outlineLevel="0" collapsed="false">
      <c r="A3" s="5" t="s">
        <v>97</v>
      </c>
      <c r="B3" s="5" t="s">
        <v>228</v>
      </c>
      <c r="C3" s="5" t="s">
        <v>271</v>
      </c>
      <c r="D3" s="5" t="s">
        <v>272</v>
      </c>
      <c r="E3" s="5" t="s">
        <v>273</v>
      </c>
      <c r="F3" s="5" t="s">
        <v>274</v>
      </c>
      <c r="G3" s="5" t="s">
        <v>275</v>
      </c>
      <c r="H3" s="5" t="s">
        <v>277</v>
      </c>
      <c r="I3" s="5" t="s">
        <v>279</v>
      </c>
    </row>
    <row r="4" customFormat="false" ht="15" hidden="false" customHeight="false" outlineLevel="0" collapsed="false">
      <c r="A4" s="10" t="s">
        <v>565</v>
      </c>
      <c r="B4" s="10" t="s">
        <v>879</v>
      </c>
      <c r="C4" s="10" t="n">
        <v>6</v>
      </c>
      <c r="D4" s="10" t="n">
        <v>18</v>
      </c>
      <c r="E4" s="10" t="n">
        <v>8</v>
      </c>
      <c r="F4" s="10" t="n">
        <v>3</v>
      </c>
      <c r="G4" s="10"/>
      <c r="H4" s="10" t="s">
        <v>1024</v>
      </c>
      <c r="I4" s="10" t="s">
        <v>540</v>
      </c>
    </row>
    <row r="5" customFormat="false" ht="15" hidden="false" customHeight="false" outlineLevel="0" collapsed="false">
      <c r="A5" s="10" t="s">
        <v>565</v>
      </c>
      <c r="B5" s="10" t="s">
        <v>882</v>
      </c>
      <c r="C5" s="10" t="n">
        <v>8</v>
      </c>
      <c r="D5" s="10" t="n">
        <v>24</v>
      </c>
      <c r="E5" s="10" t="n">
        <v>10</v>
      </c>
      <c r="F5" s="10" t="n">
        <v>4</v>
      </c>
      <c r="G5" s="10"/>
      <c r="H5" s="10" t="s">
        <v>1024</v>
      </c>
      <c r="I5" s="10" t="s">
        <v>540</v>
      </c>
    </row>
    <row r="6" customFormat="false" ht="15" hidden="false" customHeight="false" outlineLevel="0" collapsed="false">
      <c r="A6" s="10" t="s">
        <v>565</v>
      </c>
      <c r="B6" s="10" t="s">
        <v>885</v>
      </c>
      <c r="C6" s="10" t="n">
        <v>6</v>
      </c>
      <c r="D6" s="10" t="n">
        <v>20</v>
      </c>
      <c r="E6" s="10" t="n">
        <v>8</v>
      </c>
      <c r="F6" s="10" t="n">
        <v>3</v>
      </c>
      <c r="G6" s="10"/>
      <c r="H6" s="10" t="s">
        <v>1024</v>
      </c>
      <c r="I6" s="10" t="s">
        <v>540</v>
      </c>
    </row>
    <row r="7" customFormat="false" ht="15" hidden="false" customHeight="false" outlineLevel="0" collapsed="false">
      <c r="A7" s="10" t="s">
        <v>565</v>
      </c>
      <c r="B7" s="10" t="s">
        <v>906</v>
      </c>
      <c r="C7" s="10" t="n">
        <v>3</v>
      </c>
      <c r="D7" s="10" t="n">
        <v>8</v>
      </c>
      <c r="E7" s="10" t="n">
        <v>4</v>
      </c>
      <c r="F7" s="10" t="n">
        <v>2</v>
      </c>
      <c r="G7" s="10"/>
      <c r="H7" s="10" t="s">
        <v>1024</v>
      </c>
      <c r="I7" s="10" t="s">
        <v>540</v>
      </c>
    </row>
    <row r="8" customFormat="false" ht="15" hidden="false" customHeight="false" outlineLevel="0" collapsed="false">
      <c r="A8" s="10" t="s">
        <v>565</v>
      </c>
      <c r="B8" s="10" t="s">
        <v>912</v>
      </c>
      <c r="C8" s="10" t="n">
        <v>3</v>
      </c>
      <c r="D8" s="10" t="n">
        <v>8</v>
      </c>
      <c r="E8" s="10" t="n">
        <v>4</v>
      </c>
      <c r="F8" s="10" t="n">
        <v>2</v>
      </c>
      <c r="G8" s="10"/>
      <c r="H8" s="10" t="s">
        <v>1024</v>
      </c>
      <c r="I8" s="10" t="s">
        <v>540</v>
      </c>
    </row>
    <row r="9" customFormat="false" ht="15" hidden="false" customHeight="false" outlineLevel="0" collapsed="false">
      <c r="A9" s="10" t="s">
        <v>565</v>
      </c>
      <c r="B9" s="10" t="s">
        <v>922</v>
      </c>
      <c r="C9" s="10" t="n">
        <v>5</v>
      </c>
      <c r="D9" s="10" t="n">
        <v>15</v>
      </c>
      <c r="E9" s="10" t="n">
        <v>7</v>
      </c>
      <c r="F9" s="10" t="n">
        <v>2</v>
      </c>
      <c r="G9" s="10"/>
      <c r="H9" s="10" t="s">
        <v>1024</v>
      </c>
      <c r="I9" s="10" t="s">
        <v>540</v>
      </c>
    </row>
    <row r="10" customFormat="false" ht="15" hidden="false" customHeight="false" outlineLevel="0" collapsed="false">
      <c r="A10" s="10" t="s">
        <v>574</v>
      </c>
      <c r="B10" s="10" t="s">
        <v>882</v>
      </c>
      <c r="C10" s="10" t="n">
        <v>6</v>
      </c>
      <c r="D10" s="10" t="n">
        <v>18</v>
      </c>
      <c r="E10" s="10" t="n">
        <v>8</v>
      </c>
      <c r="F10" s="10" t="n">
        <v>3</v>
      </c>
      <c r="G10" s="10"/>
      <c r="H10" s="10" t="s">
        <v>1024</v>
      </c>
      <c r="I10" s="10" t="s">
        <v>540</v>
      </c>
    </row>
    <row r="11" customFormat="false" ht="15" hidden="false" customHeight="false" outlineLevel="0" collapsed="false">
      <c r="A11" s="10" t="s">
        <v>574</v>
      </c>
      <c r="B11" s="10" t="s">
        <v>906</v>
      </c>
      <c r="C11" s="10" t="n">
        <v>2</v>
      </c>
      <c r="D11" s="10" t="n">
        <v>6</v>
      </c>
      <c r="E11" s="10" t="n">
        <v>3</v>
      </c>
      <c r="F11" s="10" t="n">
        <v>1</v>
      </c>
      <c r="G11" s="10"/>
      <c r="H11" s="10" t="s">
        <v>1024</v>
      </c>
      <c r="I11" s="10" t="s">
        <v>540</v>
      </c>
    </row>
    <row r="12" customFormat="false" ht="15" hidden="false" customHeight="false" outlineLevel="0" collapsed="false">
      <c r="A12" s="10" t="s">
        <v>580</v>
      </c>
      <c r="B12" s="10" t="s">
        <v>933</v>
      </c>
      <c r="C12" s="10" t="n">
        <v>2</v>
      </c>
      <c r="D12" s="10" t="n">
        <v>10</v>
      </c>
      <c r="E12" s="10" t="n">
        <v>4</v>
      </c>
      <c r="F12" s="10" t="n">
        <v>2</v>
      </c>
      <c r="G12" s="10"/>
      <c r="H12" s="10" t="s">
        <v>1025</v>
      </c>
      <c r="I12" s="10" t="s">
        <v>1026</v>
      </c>
    </row>
    <row r="13" customFormat="false" ht="15" hidden="false" customHeight="false" outlineLevel="0" collapsed="false">
      <c r="A13" s="10" t="s">
        <v>584</v>
      </c>
      <c r="B13" s="10" t="s">
        <v>933</v>
      </c>
      <c r="C13" s="10" t="n">
        <v>3</v>
      </c>
      <c r="D13" s="10" t="n">
        <v>12</v>
      </c>
      <c r="E13" s="10" t="n">
        <v>5</v>
      </c>
      <c r="F13" s="10" t="n">
        <v>2</v>
      </c>
      <c r="G13" s="10"/>
      <c r="H13" s="10" t="s">
        <v>1025</v>
      </c>
      <c r="I13" s="10" t="s">
        <v>1026</v>
      </c>
    </row>
    <row r="14" customFormat="false" ht="15" hidden="false" customHeight="false" outlineLevel="0" collapsed="false">
      <c r="A14" s="10" t="s">
        <v>597</v>
      </c>
      <c r="B14" s="10" t="s">
        <v>933</v>
      </c>
      <c r="C14" s="10" t="n">
        <v>4</v>
      </c>
      <c r="D14" s="10" t="n">
        <v>14</v>
      </c>
      <c r="E14" s="10" t="n">
        <v>6</v>
      </c>
      <c r="F14" s="10" t="n">
        <v>3</v>
      </c>
      <c r="G14" s="10"/>
      <c r="H14" s="10" t="s">
        <v>1025</v>
      </c>
      <c r="I14" s="10" t="s">
        <v>1026</v>
      </c>
    </row>
    <row r="15" customFormat="false" ht="15" hidden="false" customHeight="false" outlineLevel="0" collapsed="false">
      <c r="A15" s="10" t="s">
        <v>597</v>
      </c>
      <c r="B15" s="10" t="s">
        <v>912</v>
      </c>
      <c r="C15" s="10" t="n">
        <v>3</v>
      </c>
      <c r="D15" s="10" t="n">
        <v>9</v>
      </c>
      <c r="E15" s="10" t="n">
        <v>4</v>
      </c>
      <c r="F15" s="10" t="n">
        <v>2</v>
      </c>
      <c r="G15" s="10"/>
      <c r="H15" s="10" t="s">
        <v>1024</v>
      </c>
      <c r="I15" s="10" t="s">
        <v>540</v>
      </c>
    </row>
    <row r="16" customFormat="false" ht="15" hidden="false" customHeight="false" outlineLevel="0" collapsed="false">
      <c r="A16" s="10" t="s">
        <v>603</v>
      </c>
      <c r="B16" s="10" t="s">
        <v>882</v>
      </c>
      <c r="C16" s="10" t="n">
        <v>6</v>
      </c>
      <c r="D16" s="10" t="n">
        <v>16</v>
      </c>
      <c r="E16" s="10" t="n">
        <v>7</v>
      </c>
      <c r="F16" s="10" t="n">
        <v>3</v>
      </c>
      <c r="G16" s="10"/>
      <c r="H16" s="10" t="s">
        <v>1024</v>
      </c>
      <c r="I16" s="10" t="s">
        <v>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FF"/>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3"/>
    <col collapsed="false" customWidth="true" hidden="false" outlineLevel="0" max="4" min="4" style="0" width="16"/>
    <col collapsed="false" customWidth="true" hidden="false" outlineLevel="0" max="5" min="5" style="0" width="14"/>
    <col collapsed="false" customWidth="true" hidden="false" outlineLevel="0" max="6" min="6" style="0" width="17"/>
  </cols>
  <sheetData>
    <row r="1" customFormat="false" ht="15" hidden="false" customHeight="false" outlineLevel="0" collapsed="false">
      <c r="A1" s="8" t="s">
        <v>1027</v>
      </c>
    </row>
    <row r="2" customFormat="false" ht="15" hidden="false" customHeight="false" outlineLevel="0" collapsed="false">
      <c r="A2" s="9" t="s">
        <v>1028</v>
      </c>
    </row>
    <row r="3" customFormat="false" ht="15" hidden="false" customHeight="false" outlineLevel="0" collapsed="false">
      <c r="A3" s="5" t="s">
        <v>228</v>
      </c>
      <c r="B3" s="5" t="s">
        <v>283</v>
      </c>
      <c r="C3" s="5" t="s">
        <v>284</v>
      </c>
      <c r="D3" s="5" t="s">
        <v>285</v>
      </c>
      <c r="E3" s="5" t="s">
        <v>286</v>
      </c>
      <c r="F3" s="5" t="s">
        <v>242</v>
      </c>
    </row>
    <row r="4" customFormat="false" ht="15" hidden="false" customHeight="false" outlineLevel="0" collapsed="false">
      <c r="A4" s="10" t="s">
        <v>879</v>
      </c>
      <c r="B4" s="10" t="s">
        <v>712</v>
      </c>
      <c r="C4" s="10" t="n">
        <v>9.9</v>
      </c>
      <c r="D4" s="10" t="n">
        <v>19.99</v>
      </c>
      <c r="E4" s="10" t="s">
        <v>1029</v>
      </c>
      <c r="F4" s="10" t="s">
        <v>941</v>
      </c>
    </row>
    <row r="5" customFormat="false" ht="15" hidden="false" customHeight="false" outlineLevel="0" collapsed="false">
      <c r="A5" s="10" t="s">
        <v>879</v>
      </c>
      <c r="B5" s="10" t="s">
        <v>1030</v>
      </c>
      <c r="C5" s="10" t="n">
        <v>10.45</v>
      </c>
      <c r="D5" s="10" t="n">
        <v>21.99</v>
      </c>
      <c r="E5" s="10" t="s">
        <v>1029</v>
      </c>
      <c r="F5" s="10" t="s">
        <v>941</v>
      </c>
    </row>
    <row r="6" customFormat="false" ht="15" hidden="false" customHeight="false" outlineLevel="0" collapsed="false">
      <c r="A6" s="10" t="s">
        <v>882</v>
      </c>
      <c r="B6" s="10" t="s">
        <v>712</v>
      </c>
      <c r="C6" s="10" t="n">
        <v>9.9</v>
      </c>
      <c r="D6" s="10" t="n">
        <v>19.99</v>
      </c>
      <c r="E6" s="10" t="s">
        <v>1029</v>
      </c>
      <c r="F6" s="10" t="s">
        <v>941</v>
      </c>
    </row>
    <row r="7" customFormat="false" ht="15" hidden="false" customHeight="false" outlineLevel="0" collapsed="false">
      <c r="A7" s="10" t="s">
        <v>882</v>
      </c>
      <c r="B7" s="10" t="s">
        <v>1030</v>
      </c>
      <c r="C7" s="10" t="n">
        <v>10.45</v>
      </c>
      <c r="D7" s="10" t="n">
        <v>21.99</v>
      </c>
      <c r="E7" s="10" t="s">
        <v>1029</v>
      </c>
      <c r="F7" s="10" t="s">
        <v>941</v>
      </c>
    </row>
    <row r="8" customFormat="false" ht="15" hidden="false" customHeight="false" outlineLevel="0" collapsed="false">
      <c r="A8" s="10" t="s">
        <v>906</v>
      </c>
      <c r="B8" s="10" t="s">
        <v>712</v>
      </c>
      <c r="C8" s="10" t="n">
        <v>92</v>
      </c>
      <c r="D8" s="10" t="n">
        <v>169.99</v>
      </c>
      <c r="E8" s="10" t="s">
        <v>1029</v>
      </c>
      <c r="F8" s="10" t="s">
        <v>941</v>
      </c>
    </row>
    <row r="9" customFormat="false" ht="15" hidden="false" customHeight="false" outlineLevel="0" collapsed="false">
      <c r="A9" s="10" t="s">
        <v>922</v>
      </c>
      <c r="B9" s="10" t="s">
        <v>712</v>
      </c>
      <c r="C9" s="10" t="n">
        <v>14.5</v>
      </c>
      <c r="D9" s="10" t="n">
        <v>29.99</v>
      </c>
      <c r="E9" s="10" t="s">
        <v>1029</v>
      </c>
      <c r="F9" s="10" t="s">
        <v>948</v>
      </c>
    </row>
    <row r="10" customFormat="false" ht="15" hidden="false" customHeight="false" outlineLevel="0" collapsed="false">
      <c r="A10" s="10" t="s">
        <v>933</v>
      </c>
      <c r="B10" s="10" t="s">
        <v>1031</v>
      </c>
      <c r="C10" s="10" t="n">
        <v>41</v>
      </c>
      <c r="D10" s="10" t="n">
        <v>79.99</v>
      </c>
      <c r="E10" s="10" t="s">
        <v>1029</v>
      </c>
      <c r="F10" s="10" t="s">
        <v>948</v>
      </c>
    </row>
    <row r="11" customFormat="false" ht="15" hidden="false" customHeight="false" outlineLevel="0" collapsed="false">
      <c r="A11" s="10" t="s">
        <v>933</v>
      </c>
      <c r="B11" s="10" t="s">
        <v>756</v>
      </c>
      <c r="C11" s="10" t="n">
        <v>41</v>
      </c>
      <c r="D11" s="10" t="n">
        <v>59.99</v>
      </c>
      <c r="E11" s="10" t="s">
        <v>1032</v>
      </c>
      <c r="F11" s="10" t="s">
        <v>1033</v>
      </c>
    </row>
    <row r="12" customFormat="false" ht="15" hidden="false" customHeight="false" outlineLevel="0" collapsed="false">
      <c r="A12" s="10" t="s">
        <v>951</v>
      </c>
      <c r="B12" s="10" t="s">
        <v>712</v>
      </c>
      <c r="C12" s="10" t="n">
        <v>11.95</v>
      </c>
      <c r="D12" s="10" t="n">
        <v>24.99</v>
      </c>
      <c r="E12" s="10" t="s">
        <v>1029</v>
      </c>
      <c r="F12" s="10" t="s">
        <v>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31"/>
    <col collapsed="false" customWidth="true" hidden="false" outlineLevel="0" max="3" min="3" style="0" width="38"/>
    <col collapsed="false" customWidth="true" hidden="false" outlineLevel="0" max="4" min="4" style="0" width="19"/>
    <col collapsed="false" customWidth="true" hidden="false" outlineLevel="0" max="5" min="5" style="0" width="15"/>
    <col collapsed="false" customWidth="true" hidden="false" outlineLevel="0" max="6" min="6" style="0" width="26"/>
    <col collapsed="false" customWidth="true" hidden="false" outlineLevel="0" max="7" min="7" style="0" width="20"/>
    <col collapsed="false" customWidth="true" hidden="false" outlineLevel="0" max="8" min="8" style="0" width="12"/>
  </cols>
  <sheetData>
    <row r="1" customFormat="false" ht="15" hidden="false" customHeight="false" outlineLevel="0" collapsed="false">
      <c r="A1" s="8" t="s">
        <v>1034</v>
      </c>
    </row>
    <row r="2" customFormat="false" ht="15" hidden="false" customHeight="false" outlineLevel="0" collapsed="false">
      <c r="A2" s="9" t="s">
        <v>1035</v>
      </c>
    </row>
    <row r="3" customFormat="false" ht="15" hidden="false" customHeight="false" outlineLevel="0" collapsed="false">
      <c r="A3" s="5" t="s">
        <v>290</v>
      </c>
      <c r="B3" s="5" t="s">
        <v>292</v>
      </c>
      <c r="C3" s="5" t="s">
        <v>294</v>
      </c>
      <c r="D3" s="5" t="s">
        <v>296</v>
      </c>
      <c r="E3" s="5" t="s">
        <v>297</v>
      </c>
      <c r="F3" s="5" t="s">
        <v>298</v>
      </c>
      <c r="G3" s="5" t="s">
        <v>299</v>
      </c>
      <c r="H3" s="5" t="s">
        <v>120</v>
      </c>
    </row>
    <row r="4" customFormat="false" ht="15" hidden="false" customHeight="false" outlineLevel="0" collapsed="false">
      <c r="A4" s="10" t="s">
        <v>1036</v>
      </c>
      <c r="B4" s="10" t="s">
        <v>1037</v>
      </c>
      <c r="C4" s="10" t="s">
        <v>1038</v>
      </c>
      <c r="D4" s="10" t="s">
        <v>1039</v>
      </c>
      <c r="E4" s="10" t="s">
        <v>1040</v>
      </c>
      <c r="F4" s="10" t="s">
        <v>1041</v>
      </c>
      <c r="G4" s="10" t="n">
        <v>0.15</v>
      </c>
      <c r="H4" s="10" t="s">
        <v>573</v>
      </c>
    </row>
    <row r="5" customFormat="false" ht="15" hidden="false" customHeight="false" outlineLevel="0" collapsed="false">
      <c r="A5" s="10" t="s">
        <v>1042</v>
      </c>
      <c r="B5" s="10" t="s">
        <v>1043</v>
      </c>
      <c r="C5" s="10" t="s">
        <v>1044</v>
      </c>
      <c r="D5" s="10" t="s">
        <v>1045</v>
      </c>
      <c r="E5" s="10" t="s">
        <v>1046</v>
      </c>
      <c r="F5" s="10" t="s">
        <v>1047</v>
      </c>
      <c r="G5" s="10" t="n">
        <v>0.1</v>
      </c>
      <c r="H5" s="10" t="s">
        <v>573</v>
      </c>
    </row>
    <row r="6" customFormat="false" ht="15" hidden="false" customHeight="false" outlineLevel="0" collapsed="false">
      <c r="A6" s="10" t="s">
        <v>1048</v>
      </c>
      <c r="B6" s="10" t="s">
        <v>1049</v>
      </c>
      <c r="C6" s="10" t="s">
        <v>1050</v>
      </c>
      <c r="D6" s="10" t="s">
        <v>1051</v>
      </c>
      <c r="E6" s="10" t="s">
        <v>1052</v>
      </c>
      <c r="F6" s="10" t="s">
        <v>1053</v>
      </c>
      <c r="G6" s="10" t="n">
        <v>0.2</v>
      </c>
      <c r="H6" s="10" t="s">
        <v>573</v>
      </c>
    </row>
    <row r="7" customFormat="false" ht="15" hidden="false" customHeight="false" outlineLevel="0" collapsed="false">
      <c r="A7" s="10" t="s">
        <v>1054</v>
      </c>
      <c r="B7" s="10" t="s">
        <v>1055</v>
      </c>
      <c r="C7" s="10" t="s">
        <v>1056</v>
      </c>
      <c r="D7" s="10" t="s">
        <v>1057</v>
      </c>
      <c r="E7" s="10" t="s">
        <v>1058</v>
      </c>
      <c r="F7" s="10" t="s">
        <v>1059</v>
      </c>
      <c r="G7" s="10" t="n">
        <v>0.15</v>
      </c>
      <c r="H7" s="10" t="s">
        <v>1060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4" min="2" style="0" width="12"/>
    <col collapsed="false" customWidth="true" hidden="false" outlineLevel="0" max="5" min="5" style="0" width="13"/>
    <col collapsed="false" customWidth="true" hidden="false" outlineLevel="0" max="6" min="6" style="0" width="12"/>
    <col collapsed="false" customWidth="true" hidden="false" outlineLevel="0" max="7" min="7" style="0" width="18"/>
    <col collapsed="false" customWidth="true" hidden="false" outlineLevel="0" max="8" min="8" style="0" width="14"/>
    <col collapsed="false" customWidth="true" hidden="false" outlineLevel="0" max="9" min="9" style="0" width="21"/>
  </cols>
  <sheetData>
    <row r="1" customFormat="false" ht="15" hidden="false" customHeight="false" outlineLevel="0" collapsed="false">
      <c r="A1" s="8" t="s">
        <v>1061</v>
      </c>
    </row>
    <row r="2" customFormat="false" ht="15" hidden="false" customHeight="false" outlineLevel="0" collapsed="false">
      <c r="A2" s="9" t="s">
        <v>1062</v>
      </c>
    </row>
    <row r="3" customFormat="false" ht="15" hidden="false" customHeight="false" outlineLevel="0" collapsed="false">
      <c r="A3" s="5" t="s">
        <v>304</v>
      </c>
      <c r="B3" s="5" t="s">
        <v>97</v>
      </c>
      <c r="C3" s="5" t="s">
        <v>228</v>
      </c>
      <c r="D3" s="5" t="s">
        <v>306</v>
      </c>
      <c r="E3" s="5" t="s">
        <v>307</v>
      </c>
      <c r="F3" s="5" t="s">
        <v>308</v>
      </c>
      <c r="G3" s="5" t="s">
        <v>309</v>
      </c>
      <c r="H3" s="5" t="s">
        <v>311</v>
      </c>
      <c r="I3" s="5" t="s">
        <v>312</v>
      </c>
    </row>
    <row r="4" customFormat="false" ht="15" hidden="false" customHeight="false" outlineLevel="0" collapsed="false">
      <c r="A4" s="10" t="s">
        <v>1063</v>
      </c>
      <c r="B4" s="10" t="s">
        <v>565</v>
      </c>
      <c r="C4" s="10" t="s">
        <v>882</v>
      </c>
      <c r="D4" s="10" t="n">
        <v>3</v>
      </c>
      <c r="E4" s="10" t="n">
        <v>59.97</v>
      </c>
      <c r="F4" s="10" t="n">
        <v>29.7</v>
      </c>
      <c r="G4" s="10" t="n">
        <f aca="false">E4-F4</f>
        <v>30.27</v>
      </c>
      <c r="H4" s="11" t="b">
        <f aca="false">FALSE()</f>
        <v>0</v>
      </c>
      <c r="I4" s="11" t="b">
        <f aca="false">FALSE()</f>
        <v>0</v>
      </c>
    </row>
    <row r="5" customFormat="false" ht="15" hidden="false" customHeight="false" outlineLevel="0" collapsed="false">
      <c r="A5" s="10" t="s">
        <v>1063</v>
      </c>
      <c r="B5" s="10" t="s">
        <v>565</v>
      </c>
      <c r="C5" s="10" t="s">
        <v>906</v>
      </c>
      <c r="D5" s="10" t="n">
        <v>1</v>
      </c>
      <c r="E5" s="10" t="n">
        <v>169.99</v>
      </c>
      <c r="F5" s="10" t="n">
        <v>92</v>
      </c>
      <c r="G5" s="10" t="n">
        <f aca="false">E5-F5</f>
        <v>77.99</v>
      </c>
      <c r="H5" s="11" t="b">
        <f aca="false">FALSE()</f>
        <v>0</v>
      </c>
      <c r="I5" s="11" t="b">
        <f aca="false">FALSE()</f>
        <v>0</v>
      </c>
    </row>
    <row r="6" customFormat="false" ht="15" hidden="false" customHeight="false" outlineLevel="0" collapsed="false">
      <c r="A6" s="10" t="s">
        <v>1063</v>
      </c>
      <c r="B6" s="10" t="s">
        <v>580</v>
      </c>
      <c r="C6" s="10" t="s">
        <v>933</v>
      </c>
      <c r="D6" s="10" t="n">
        <v>0</v>
      </c>
      <c r="E6" s="10" t="n">
        <v>0</v>
      </c>
      <c r="F6" s="10" t="n">
        <v>0</v>
      </c>
      <c r="G6" s="10" t="n">
        <f aca="false">E6-F6</f>
        <v>0</v>
      </c>
      <c r="H6" s="11" t="b">
        <f aca="false">FALSE()</f>
        <v>0</v>
      </c>
      <c r="I6" s="11" t="b">
        <f aca="false">FALSE()</f>
        <v>0</v>
      </c>
    </row>
    <row r="7" customFormat="false" ht="15" hidden="false" customHeight="false" outlineLevel="0" collapsed="false">
      <c r="A7" s="10" t="s">
        <v>1064</v>
      </c>
      <c r="B7" s="10" t="s">
        <v>565</v>
      </c>
      <c r="C7" s="10" t="s">
        <v>882</v>
      </c>
      <c r="D7" s="10" t="n">
        <v>2</v>
      </c>
      <c r="E7" s="10" t="n">
        <v>39.98</v>
      </c>
      <c r="F7" s="10" t="n">
        <v>19.8</v>
      </c>
      <c r="G7" s="10" t="n">
        <f aca="false">E7-F7</f>
        <v>20.18</v>
      </c>
      <c r="H7" s="11" t="b">
        <f aca="false">FALSE()</f>
        <v>0</v>
      </c>
      <c r="I7" s="11" t="b">
        <f aca="false">FALSE()</f>
        <v>0</v>
      </c>
    </row>
    <row r="8" customFormat="false" ht="15" hidden="false" customHeight="false" outlineLevel="0" collapsed="false">
      <c r="A8" s="10" t="s">
        <v>1064</v>
      </c>
      <c r="B8" s="10" t="s">
        <v>597</v>
      </c>
      <c r="C8" s="10" t="s">
        <v>933</v>
      </c>
      <c r="D8" s="10" t="n">
        <v>4</v>
      </c>
      <c r="E8" s="10" t="n">
        <v>239.96</v>
      </c>
      <c r="F8" s="10" t="n">
        <v>164</v>
      </c>
      <c r="G8" s="10" t="n">
        <f aca="false">E8-F8</f>
        <v>75.96</v>
      </c>
      <c r="H8" s="11" t="b">
        <f aca="false">FALSE()</f>
        <v>0</v>
      </c>
      <c r="I8" s="11" t="b">
        <f aca="false">TRUE()</f>
        <v>1</v>
      </c>
    </row>
    <row r="9" customFormat="false" ht="15" hidden="false" customHeight="false" outlineLevel="0" collapsed="false">
      <c r="A9" s="10" t="s">
        <v>1064</v>
      </c>
      <c r="B9" s="10" t="s">
        <v>597</v>
      </c>
      <c r="C9" s="10" t="s">
        <v>912</v>
      </c>
      <c r="D9" s="10" t="n">
        <v>2</v>
      </c>
      <c r="E9" s="10" t="n">
        <v>339.98</v>
      </c>
      <c r="F9" s="10" t="n">
        <v>184</v>
      </c>
      <c r="G9" s="10" t="n">
        <f aca="false">E9-F9</f>
        <v>155.98</v>
      </c>
      <c r="H9" s="11" t="b">
        <f aca="false">FALSE()</f>
        <v>0</v>
      </c>
      <c r="I9" s="11" t="b">
        <f aca="false">TRUE()</f>
        <v>1</v>
      </c>
    </row>
    <row r="10" customFormat="false" ht="15" hidden="false" customHeight="false" outlineLevel="0" collapsed="false">
      <c r="A10" s="10" t="s">
        <v>762</v>
      </c>
      <c r="B10" s="10" t="s">
        <v>597</v>
      </c>
      <c r="C10" s="10" t="s">
        <v>933</v>
      </c>
      <c r="D10" s="10" t="n">
        <v>6</v>
      </c>
      <c r="E10" s="10" t="n">
        <v>359.94</v>
      </c>
      <c r="F10" s="10" t="n">
        <v>246</v>
      </c>
      <c r="G10" s="10" t="n">
        <f aca="false">E10-F10</f>
        <v>113.94</v>
      </c>
      <c r="H10" s="11" t="b">
        <f aca="false">FALSE()</f>
        <v>0</v>
      </c>
      <c r="I10" s="11" t="b">
        <f aca="false">TRUE()</f>
        <v>1</v>
      </c>
    </row>
    <row r="11" customFormat="false" ht="15" hidden="false" customHeight="false" outlineLevel="0" collapsed="false">
      <c r="A11" s="10" t="s">
        <v>762</v>
      </c>
      <c r="B11" s="10" t="s">
        <v>603</v>
      </c>
      <c r="C11" s="10" t="s">
        <v>935</v>
      </c>
      <c r="D11" s="10" t="n">
        <v>5</v>
      </c>
      <c r="E11" s="10" t="n">
        <v>299.95</v>
      </c>
      <c r="F11" s="10" t="n">
        <v>205</v>
      </c>
      <c r="G11" s="10" t="n">
        <f aca="false">E11-F11</f>
        <v>94.95</v>
      </c>
      <c r="H11" s="11" t="b">
        <f aca="false">FALSE()</f>
        <v>0</v>
      </c>
      <c r="I11" s="11" t="b">
        <f aca="false">TRUE()</f>
        <v>1</v>
      </c>
    </row>
    <row r="12" customFormat="false" ht="15" hidden="false" customHeight="false" outlineLevel="0" collapsed="false">
      <c r="A12" s="10" t="s">
        <v>762</v>
      </c>
      <c r="B12" s="10" t="s">
        <v>574</v>
      </c>
      <c r="C12" s="10" t="s">
        <v>922</v>
      </c>
      <c r="D12" s="10" t="n">
        <v>4</v>
      </c>
      <c r="E12" s="10" t="n">
        <v>119.96</v>
      </c>
      <c r="F12" s="10" t="n">
        <v>58</v>
      </c>
      <c r="G12" s="10" t="n">
        <f aca="false">E12-F12</f>
        <v>61.96</v>
      </c>
      <c r="H12" s="11" t="b">
        <f aca="false">FALSE()</f>
        <v>0</v>
      </c>
      <c r="I12" s="11" t="b">
        <f aca="false">FALSE()</f>
        <v>0</v>
      </c>
    </row>
    <row r="13" customFormat="false" ht="15" hidden="false" customHeight="false" outlineLevel="0" collapsed="false">
      <c r="A13" s="10" t="s">
        <v>1065</v>
      </c>
      <c r="B13" s="10" t="s">
        <v>565</v>
      </c>
      <c r="C13" s="10" t="s">
        <v>885</v>
      </c>
      <c r="D13" s="10" t="n">
        <v>5</v>
      </c>
      <c r="E13" s="10" t="n">
        <v>99.95</v>
      </c>
      <c r="F13" s="10" t="n">
        <v>49.5</v>
      </c>
      <c r="G13" s="10" t="n">
        <f aca="false">E13-F13</f>
        <v>50.45</v>
      </c>
      <c r="H13" s="11" t="b">
        <f aca="false">TRUE()</f>
        <v>1</v>
      </c>
      <c r="I13" s="11" t="b">
        <f aca="false">FALSE()</f>
        <v>0</v>
      </c>
    </row>
    <row r="14" customFormat="false" ht="15" hidden="false" customHeight="false" outlineLevel="0" collapsed="false">
      <c r="A14" s="10" t="s">
        <v>1065</v>
      </c>
      <c r="B14" s="10" t="s">
        <v>584</v>
      </c>
      <c r="C14" s="10" t="s">
        <v>933</v>
      </c>
      <c r="D14" s="10" t="n">
        <v>2</v>
      </c>
      <c r="E14" s="10" t="n">
        <v>119.98</v>
      </c>
      <c r="F14" s="10" t="n">
        <v>82</v>
      </c>
      <c r="G14" s="10" t="n">
        <f aca="false">E14-F14</f>
        <v>37.98</v>
      </c>
      <c r="H14" s="11" t="b">
        <f aca="false">FALSE()</f>
        <v>0</v>
      </c>
      <c r="I14" s="11" t="b">
        <f aca="false">TRUE()</f>
        <v>1</v>
      </c>
    </row>
    <row r="15" customFormat="false" ht="15" hidden="false" customHeight="false" outlineLevel="0" collapsed="false">
      <c r="A15" s="10" t="s">
        <v>1066</v>
      </c>
      <c r="B15" s="10" t="s">
        <v>591</v>
      </c>
      <c r="C15" s="10" t="s">
        <v>879</v>
      </c>
      <c r="D15" s="10" t="n">
        <v>3</v>
      </c>
      <c r="E15" s="10" t="n">
        <v>59.97</v>
      </c>
      <c r="F15" s="10" t="n">
        <v>29.7</v>
      </c>
      <c r="G15" s="10" t="n">
        <f aca="false">E15-F15</f>
        <v>30.27</v>
      </c>
      <c r="H15" s="11" t="b">
        <f aca="false">FALSE()</f>
        <v>0</v>
      </c>
      <c r="I15" s="11" t="b">
        <f aca="false">FALSE()</f>
        <v>0</v>
      </c>
    </row>
    <row r="16" customFormat="false" ht="15" hidden="false" customHeight="false" outlineLevel="0" collapsed="false">
      <c r="A16" s="10" t="s">
        <v>1066</v>
      </c>
      <c r="B16" s="10" t="s">
        <v>565</v>
      </c>
      <c r="C16" s="10" t="s">
        <v>912</v>
      </c>
      <c r="D16" s="10" t="n">
        <v>1</v>
      </c>
      <c r="E16" s="10" t="n">
        <v>169.99</v>
      </c>
      <c r="F16" s="10" t="n">
        <v>92</v>
      </c>
      <c r="G16" s="10" t="n">
        <f aca="false">E16-F16</f>
        <v>77.99</v>
      </c>
      <c r="H16" s="11" t="b">
        <f aca="false">FALSE()</f>
        <v>0</v>
      </c>
      <c r="I16" s="11"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5" min="2" style="0" width="12"/>
    <col collapsed="false" customWidth="true" hidden="false" outlineLevel="0" max="6" min="6" style="0" width="14"/>
    <col collapsed="false" customWidth="true" hidden="false" outlineLevel="0" max="7" min="7" style="0" width="13"/>
    <col collapsed="false" customWidth="true" hidden="false" outlineLevel="0" max="8" min="8" style="0" width="22"/>
  </cols>
  <sheetData>
    <row r="1" customFormat="false" ht="15" hidden="false" customHeight="false" outlineLevel="0" collapsed="false">
      <c r="A1" s="8" t="s">
        <v>1067</v>
      </c>
    </row>
    <row r="2" customFormat="false" ht="15" hidden="false" customHeight="false" outlineLevel="0" collapsed="false">
      <c r="A2" s="9" t="s">
        <v>1068</v>
      </c>
    </row>
    <row r="3" customFormat="false" ht="15" hidden="false" customHeight="false" outlineLevel="0" collapsed="false">
      <c r="A3" s="5" t="s">
        <v>315</v>
      </c>
      <c r="B3" s="5" t="s">
        <v>97</v>
      </c>
      <c r="C3" s="5" t="s">
        <v>228</v>
      </c>
      <c r="D3" s="5" t="s">
        <v>317</v>
      </c>
      <c r="E3" s="5" t="s">
        <v>318</v>
      </c>
      <c r="F3" s="5" t="s">
        <v>319</v>
      </c>
      <c r="G3" s="5" t="s">
        <v>284</v>
      </c>
      <c r="H3" s="5" t="s">
        <v>320</v>
      </c>
    </row>
    <row r="4" customFormat="false" ht="15" hidden="false" customHeight="false" outlineLevel="0" collapsed="false">
      <c r="A4" s="10" t="s">
        <v>1069</v>
      </c>
      <c r="B4" s="10" t="s">
        <v>565</v>
      </c>
      <c r="C4" s="10" t="s">
        <v>879</v>
      </c>
      <c r="D4" s="10" t="n">
        <v>4</v>
      </c>
      <c r="E4" s="10" t="n">
        <v>12</v>
      </c>
      <c r="F4" s="10" t="n">
        <v>0</v>
      </c>
      <c r="G4" s="10" t="n">
        <v>9.9</v>
      </c>
      <c r="H4" s="10" t="s">
        <v>1070</v>
      </c>
    </row>
    <row r="5" customFormat="false" ht="15" hidden="false" customHeight="false" outlineLevel="0" collapsed="false">
      <c r="A5" s="10" t="s">
        <v>1069</v>
      </c>
      <c r="B5" s="10" t="s">
        <v>565</v>
      </c>
      <c r="C5" s="10" t="s">
        <v>882</v>
      </c>
      <c r="D5" s="10" t="n">
        <v>2</v>
      </c>
      <c r="E5" s="10" t="n">
        <v>12</v>
      </c>
      <c r="F5" s="10" t="n">
        <v>0</v>
      </c>
      <c r="G5" s="10" t="n">
        <v>9.9</v>
      </c>
      <c r="H5" s="10" t="s">
        <v>1071</v>
      </c>
    </row>
    <row r="6" customFormat="false" ht="15" hidden="false" customHeight="false" outlineLevel="0" collapsed="false">
      <c r="A6" s="10" t="s">
        <v>1069</v>
      </c>
      <c r="B6" s="10" t="s">
        <v>565</v>
      </c>
      <c r="C6" s="10" t="s">
        <v>885</v>
      </c>
      <c r="D6" s="10" t="n">
        <v>7</v>
      </c>
      <c r="E6" s="10" t="n">
        <v>0</v>
      </c>
      <c r="F6" s="10" t="n">
        <v>0</v>
      </c>
      <c r="G6" s="10" t="n">
        <v>9.9</v>
      </c>
      <c r="H6" s="10" t="s">
        <v>1072</v>
      </c>
    </row>
    <row r="7" customFormat="false" ht="15" hidden="false" customHeight="false" outlineLevel="0" collapsed="false">
      <c r="A7" s="10" t="s">
        <v>1069</v>
      </c>
      <c r="B7" s="10" t="s">
        <v>565</v>
      </c>
      <c r="C7" s="10" t="s">
        <v>906</v>
      </c>
      <c r="D7" s="10" t="n">
        <v>1</v>
      </c>
      <c r="E7" s="10" t="n">
        <v>4</v>
      </c>
      <c r="F7" s="10" t="n">
        <v>0</v>
      </c>
      <c r="G7" s="10" t="n">
        <v>92</v>
      </c>
      <c r="H7" s="10" t="s">
        <v>1073</v>
      </c>
    </row>
    <row r="8" customFormat="false" ht="15" hidden="false" customHeight="false" outlineLevel="0" collapsed="false">
      <c r="A8" s="10" t="s">
        <v>1069</v>
      </c>
      <c r="B8" s="10" t="s">
        <v>565</v>
      </c>
      <c r="C8" s="10" t="s">
        <v>912</v>
      </c>
      <c r="D8" s="10" t="n">
        <v>5</v>
      </c>
      <c r="E8" s="10" t="n">
        <v>0</v>
      </c>
      <c r="F8" s="10" t="n">
        <v>0</v>
      </c>
      <c r="G8" s="10" t="n">
        <v>92</v>
      </c>
      <c r="H8" s="10" t="s">
        <v>750</v>
      </c>
    </row>
    <row r="9" customFormat="false" ht="15" hidden="false" customHeight="false" outlineLevel="0" collapsed="false">
      <c r="A9" s="10" t="s">
        <v>1069</v>
      </c>
      <c r="B9" s="10" t="s">
        <v>574</v>
      </c>
      <c r="C9" s="10" t="s">
        <v>906</v>
      </c>
      <c r="D9" s="10" t="n">
        <v>0</v>
      </c>
      <c r="E9" s="10" t="n">
        <v>4</v>
      </c>
      <c r="F9" s="10" t="n">
        <v>2</v>
      </c>
      <c r="G9" s="10" t="n">
        <v>92</v>
      </c>
      <c r="H9" s="10" t="s">
        <v>1069</v>
      </c>
    </row>
    <row r="10" customFormat="false" ht="15" hidden="false" customHeight="false" outlineLevel="0" collapsed="false">
      <c r="A10" s="10" t="s">
        <v>1069</v>
      </c>
      <c r="B10" s="10" t="s">
        <v>580</v>
      </c>
      <c r="C10" s="10" t="s">
        <v>933</v>
      </c>
      <c r="D10" s="10" t="n">
        <v>9</v>
      </c>
      <c r="E10" s="10" t="n">
        <v>0</v>
      </c>
      <c r="F10" s="10" t="n">
        <v>0</v>
      </c>
      <c r="G10" s="10" t="n">
        <v>41</v>
      </c>
      <c r="H10" s="10" t="s">
        <v>1074</v>
      </c>
    </row>
    <row r="11" customFormat="false" ht="15" hidden="false" customHeight="false" outlineLevel="0" collapsed="false">
      <c r="A11" s="10" t="s">
        <v>1069</v>
      </c>
      <c r="B11" s="10" t="s">
        <v>597</v>
      </c>
      <c r="C11" s="10" t="s">
        <v>933</v>
      </c>
      <c r="D11" s="10" t="n">
        <v>3</v>
      </c>
      <c r="E11" s="10" t="n">
        <v>12</v>
      </c>
      <c r="F11" s="10" t="n">
        <v>0</v>
      </c>
      <c r="G11" s="10" t="n">
        <v>41</v>
      </c>
      <c r="H11" s="10" t="s">
        <v>1075</v>
      </c>
    </row>
    <row r="12" customFormat="false" ht="15" hidden="false" customHeight="false" outlineLevel="0" collapsed="false">
      <c r="A12" s="10" t="s">
        <v>1069</v>
      </c>
      <c r="B12" s="10" t="s">
        <v>597</v>
      </c>
      <c r="C12" s="10" t="s">
        <v>912</v>
      </c>
      <c r="D12" s="10" t="n">
        <v>2</v>
      </c>
      <c r="E12" s="10" t="n">
        <v>0</v>
      </c>
      <c r="F12" s="10" t="n">
        <v>3</v>
      </c>
      <c r="G12" s="10" t="n">
        <v>92</v>
      </c>
      <c r="H12" s="10" t="s">
        <v>763</v>
      </c>
    </row>
    <row r="13" customFormat="false" ht="15" hidden="false" customHeight="false" outlineLevel="0" collapsed="false">
      <c r="A13" s="10" t="s">
        <v>1069</v>
      </c>
      <c r="B13" s="10" t="s">
        <v>603</v>
      </c>
      <c r="C13" s="10" t="s">
        <v>882</v>
      </c>
      <c r="D13" s="10" t="n">
        <v>11</v>
      </c>
      <c r="E13" s="10" t="n">
        <v>0</v>
      </c>
      <c r="F13" s="10" t="n">
        <v>0</v>
      </c>
      <c r="G13" s="10" t="n">
        <v>9.9</v>
      </c>
      <c r="H13" s="10" t="s">
        <v>1076</v>
      </c>
    </row>
    <row r="14" customFormat="false" ht="15" hidden="false" customHeight="false" outlineLevel="0" collapsed="false">
      <c r="A14" s="10" t="s">
        <v>1069</v>
      </c>
      <c r="B14" s="10" t="s">
        <v>606</v>
      </c>
      <c r="C14" s="10" t="s">
        <v>933</v>
      </c>
      <c r="D14" s="10" t="n">
        <v>40</v>
      </c>
      <c r="E14" s="10" t="n">
        <v>150</v>
      </c>
      <c r="F14" s="10" t="n">
        <v>0</v>
      </c>
      <c r="G14" s="10" t="n">
        <v>41</v>
      </c>
      <c r="H14"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L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12"/>
    <col collapsed="false" customWidth="true" hidden="false" outlineLevel="0" max="4" min="4" style="0" width="13"/>
    <col collapsed="false" customWidth="true" hidden="false" outlineLevel="0" max="5" min="5" style="0" width="17"/>
    <col collapsed="false" customWidth="true" hidden="false" outlineLevel="0" max="6" min="6" style="0" width="16"/>
    <col collapsed="false" customWidth="true" hidden="false" outlineLevel="0" max="7" min="7" style="0" width="14"/>
    <col collapsed="false" customWidth="true" hidden="false" outlineLevel="0" max="8" min="8" style="0" width="18"/>
    <col collapsed="false" customWidth="true" hidden="false" outlineLevel="0" max="10" min="9" style="0" width="16"/>
    <col collapsed="false" customWidth="true" hidden="false" outlineLevel="0" max="11" min="11" style="0" width="21"/>
    <col collapsed="false" customWidth="true" hidden="false" outlineLevel="0" max="12" min="12" style="0" width="17"/>
  </cols>
  <sheetData>
    <row r="1" customFormat="false" ht="15" hidden="false" customHeight="false" outlineLevel="0" collapsed="false">
      <c r="A1" s="8" t="s">
        <v>1077</v>
      </c>
    </row>
    <row r="2" customFormat="false" ht="15" hidden="false" customHeight="false" outlineLevel="0" collapsed="false">
      <c r="A2" s="9" t="s">
        <v>1078</v>
      </c>
    </row>
    <row r="3" customFormat="false" ht="15" hidden="false" customHeight="false" outlineLevel="0" collapsed="false">
      <c r="A3" s="5" t="s">
        <v>323</v>
      </c>
      <c r="B3" s="5" t="s">
        <v>325</v>
      </c>
      <c r="C3" s="5" t="s">
        <v>327</v>
      </c>
      <c r="D3" s="5" t="s">
        <v>123</v>
      </c>
      <c r="E3" s="5" t="s">
        <v>329</v>
      </c>
      <c r="F3" s="5" t="s">
        <v>331</v>
      </c>
      <c r="G3" s="5" t="s">
        <v>333</v>
      </c>
      <c r="H3" s="5" t="s">
        <v>334</v>
      </c>
      <c r="I3" s="5" t="s">
        <v>335</v>
      </c>
      <c r="J3" s="5" t="s">
        <v>336</v>
      </c>
      <c r="K3" s="5" t="s">
        <v>337</v>
      </c>
      <c r="L3" s="5" t="s">
        <v>120</v>
      </c>
    </row>
    <row r="4" customFormat="false" ht="15" hidden="false" customHeight="false" outlineLevel="0" collapsed="false">
      <c r="A4" s="10" t="s">
        <v>1079</v>
      </c>
      <c r="B4" s="10"/>
      <c r="C4" s="10" t="s">
        <v>1080</v>
      </c>
      <c r="D4" s="10" t="s">
        <v>616</v>
      </c>
      <c r="E4" s="10"/>
      <c r="F4" s="10" t="s">
        <v>1081</v>
      </c>
      <c r="G4" s="10" t="s">
        <v>1082</v>
      </c>
      <c r="H4" s="10" t="s">
        <v>749</v>
      </c>
      <c r="I4" s="10" t="s">
        <v>726</v>
      </c>
      <c r="J4" s="11" t="b">
        <f aca="false">TRUE()</f>
        <v>1</v>
      </c>
      <c r="K4" s="10" t="s">
        <v>738</v>
      </c>
      <c r="L4" s="10" t="s">
        <v>1083</v>
      </c>
    </row>
    <row r="5" customFormat="false" ht="15" hidden="false" customHeight="false" outlineLevel="0" collapsed="false">
      <c r="A5" s="10" t="s">
        <v>1084</v>
      </c>
      <c r="B5" s="10" t="s">
        <v>1079</v>
      </c>
      <c r="C5" s="10" t="s">
        <v>567</v>
      </c>
      <c r="D5" s="10" t="s">
        <v>616</v>
      </c>
      <c r="E5" s="10" t="s">
        <v>565</v>
      </c>
      <c r="F5" s="10" t="s">
        <v>1081</v>
      </c>
      <c r="G5" s="10" t="s">
        <v>1082</v>
      </c>
      <c r="H5" s="10" t="s">
        <v>749</v>
      </c>
      <c r="I5" s="10" t="s">
        <v>726</v>
      </c>
      <c r="J5" s="11" t="b">
        <f aca="false">TRUE()</f>
        <v>1</v>
      </c>
      <c r="K5" s="10" t="s">
        <v>738</v>
      </c>
      <c r="L5" s="10" t="s">
        <v>1085</v>
      </c>
    </row>
    <row r="6" customFormat="false" ht="15" hidden="false" customHeight="false" outlineLevel="0" collapsed="false">
      <c r="A6" s="10" t="s">
        <v>1086</v>
      </c>
      <c r="B6" s="10" t="s">
        <v>1079</v>
      </c>
      <c r="C6" s="10" t="s">
        <v>567</v>
      </c>
      <c r="D6" s="10" t="s">
        <v>616</v>
      </c>
      <c r="E6" s="10" t="s">
        <v>574</v>
      </c>
      <c r="F6" s="10" t="s">
        <v>1081</v>
      </c>
      <c r="G6" s="10" t="s">
        <v>1082</v>
      </c>
      <c r="H6" s="10" t="s">
        <v>749</v>
      </c>
      <c r="I6" s="10" t="s">
        <v>726</v>
      </c>
      <c r="J6" s="11" t="b">
        <f aca="false">TRUE()</f>
        <v>1</v>
      </c>
      <c r="K6" s="10" t="s">
        <v>738</v>
      </c>
      <c r="L6" s="10" t="s">
        <v>1083</v>
      </c>
    </row>
    <row r="7" customFormat="false" ht="15" hidden="false" customHeight="false" outlineLevel="0" collapsed="false">
      <c r="A7" s="10" t="s">
        <v>1087</v>
      </c>
      <c r="B7" s="10" t="s">
        <v>1079</v>
      </c>
      <c r="C7" s="10" t="s">
        <v>567</v>
      </c>
      <c r="D7" s="10" t="s">
        <v>616</v>
      </c>
      <c r="E7" s="10" t="s">
        <v>597</v>
      </c>
      <c r="F7" s="10" t="s">
        <v>1081</v>
      </c>
      <c r="G7" s="10" t="s">
        <v>1082</v>
      </c>
      <c r="H7" s="10" t="s">
        <v>749</v>
      </c>
      <c r="I7" s="10" t="s">
        <v>726</v>
      </c>
      <c r="J7" s="11" t="b">
        <f aca="false">TRUE()</f>
        <v>1</v>
      </c>
      <c r="K7" s="10" t="s">
        <v>1088</v>
      </c>
      <c r="L7" s="10" t="s">
        <v>745</v>
      </c>
    </row>
    <row r="8" customFormat="false" ht="15" hidden="false" customHeight="false" outlineLevel="0" collapsed="false">
      <c r="A8" s="10" t="s">
        <v>1089</v>
      </c>
      <c r="B8" s="10"/>
      <c r="C8" s="10" t="s">
        <v>1080</v>
      </c>
      <c r="D8" s="10" t="s">
        <v>623</v>
      </c>
      <c r="E8" s="10"/>
      <c r="F8" s="10" t="s">
        <v>1081</v>
      </c>
      <c r="G8" s="10" t="s">
        <v>702</v>
      </c>
      <c r="H8" s="10" t="s">
        <v>743</v>
      </c>
      <c r="I8" s="10" t="s">
        <v>750</v>
      </c>
      <c r="J8" s="11" t="b">
        <f aca="false">TRUE()</f>
        <v>1</v>
      </c>
      <c r="K8" s="10" t="s">
        <v>738</v>
      </c>
      <c r="L8" s="10" t="s">
        <v>745</v>
      </c>
    </row>
    <row r="9" customFormat="false" ht="15" hidden="false" customHeight="false" outlineLevel="0" collapsed="false">
      <c r="A9" s="10" t="s">
        <v>1090</v>
      </c>
      <c r="B9" s="10" t="s">
        <v>1089</v>
      </c>
      <c r="C9" s="10" t="s">
        <v>567</v>
      </c>
      <c r="D9" s="10" t="s">
        <v>623</v>
      </c>
      <c r="E9" s="10" t="s">
        <v>565</v>
      </c>
      <c r="F9" s="10" t="s">
        <v>1081</v>
      </c>
      <c r="G9" s="10" t="s">
        <v>702</v>
      </c>
      <c r="H9" s="10" t="s">
        <v>743</v>
      </c>
      <c r="I9" s="10" t="s">
        <v>750</v>
      </c>
      <c r="J9" s="11" t="b">
        <f aca="false">TRUE()</f>
        <v>1</v>
      </c>
      <c r="K9" s="10" t="s">
        <v>738</v>
      </c>
      <c r="L9" s="10" t="s">
        <v>745</v>
      </c>
    </row>
    <row r="10" customFormat="false" ht="15" hidden="false" customHeight="false" outlineLevel="0" collapsed="false">
      <c r="A10" s="10" t="s">
        <v>1091</v>
      </c>
      <c r="B10" s="10" t="s">
        <v>1089</v>
      </c>
      <c r="C10" s="10" t="s">
        <v>567</v>
      </c>
      <c r="D10" s="10" t="s">
        <v>623</v>
      </c>
      <c r="E10" s="10" t="s">
        <v>574</v>
      </c>
      <c r="F10" s="10" t="s">
        <v>1081</v>
      </c>
      <c r="G10" s="10" t="s">
        <v>702</v>
      </c>
      <c r="H10" s="10" t="s">
        <v>743</v>
      </c>
      <c r="I10" s="10" t="s">
        <v>750</v>
      </c>
      <c r="J10" s="11" t="b">
        <f aca="false">TRUE()</f>
        <v>1</v>
      </c>
      <c r="K10" s="10" t="s">
        <v>738</v>
      </c>
      <c r="L10" s="10" t="s">
        <v>745</v>
      </c>
    </row>
    <row r="11" customFormat="false" ht="15" hidden="false" customHeight="false" outlineLevel="0" collapsed="false">
      <c r="A11" s="10" t="s">
        <v>1092</v>
      </c>
      <c r="B11" s="10"/>
      <c r="C11" s="10" t="s">
        <v>1080</v>
      </c>
      <c r="D11" s="10" t="s">
        <v>677</v>
      </c>
      <c r="E11" s="10"/>
      <c r="F11" s="10" t="s">
        <v>805</v>
      </c>
      <c r="G11" s="10" t="s">
        <v>1093</v>
      </c>
      <c r="H11" s="10" t="s">
        <v>1094</v>
      </c>
      <c r="I11" s="10" t="s">
        <v>1095</v>
      </c>
      <c r="J11" s="11" t="b">
        <f aca="false">TRUE()</f>
        <v>1</v>
      </c>
      <c r="K11" s="10" t="s">
        <v>1096</v>
      </c>
      <c r="L11" s="10" t="s">
        <v>745</v>
      </c>
    </row>
    <row r="12" customFormat="false" ht="15" hidden="false" customHeight="false" outlineLevel="0" collapsed="false">
      <c r="A12" s="10" t="s">
        <v>1097</v>
      </c>
      <c r="B12" s="10" t="s">
        <v>1092</v>
      </c>
      <c r="C12" s="10" t="s">
        <v>567</v>
      </c>
      <c r="D12" s="10" t="s">
        <v>677</v>
      </c>
      <c r="E12" s="10" t="s">
        <v>597</v>
      </c>
      <c r="F12" s="10" t="s">
        <v>805</v>
      </c>
      <c r="G12" s="10" t="s">
        <v>1093</v>
      </c>
      <c r="H12" s="10" t="s">
        <v>1094</v>
      </c>
      <c r="I12" s="10" t="s">
        <v>1095</v>
      </c>
      <c r="J12" s="11" t="b">
        <f aca="false">TRUE()</f>
        <v>1</v>
      </c>
      <c r="K12" s="10" t="s">
        <v>1096</v>
      </c>
      <c r="L12" s="10" t="s">
        <v>745</v>
      </c>
    </row>
    <row r="13" customFormat="false" ht="15" hidden="false" customHeight="false" outlineLevel="0" collapsed="false">
      <c r="A13" s="10" t="s">
        <v>1098</v>
      </c>
      <c r="B13" s="10"/>
      <c r="C13" s="10" t="s">
        <v>1080</v>
      </c>
      <c r="D13" s="10" t="s">
        <v>623</v>
      </c>
      <c r="E13" s="10"/>
      <c r="F13" s="10" t="s">
        <v>1099</v>
      </c>
      <c r="G13" s="10" t="s">
        <v>1066</v>
      </c>
      <c r="H13" s="10" t="s">
        <v>736</v>
      </c>
      <c r="I13" s="10" t="s">
        <v>1076</v>
      </c>
      <c r="J13" s="11" t="b">
        <f aca="false">TRUE()</f>
        <v>1</v>
      </c>
      <c r="K13" s="10" t="s">
        <v>1096</v>
      </c>
      <c r="L13" s="10" t="s">
        <v>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3" min="2" style="0" width="12"/>
    <col collapsed="false" customWidth="true" hidden="false" outlineLevel="0" max="4" min="4" style="0" width="15"/>
    <col collapsed="false" customWidth="true" hidden="false" outlineLevel="0" max="5" min="5" style="0" width="13"/>
    <col collapsed="false" customWidth="true" hidden="false" outlineLevel="0" max="6" min="6" style="0" width="16"/>
    <col collapsed="false" customWidth="true" hidden="false" outlineLevel="0" max="8" min="7" style="0" width="17"/>
  </cols>
  <sheetData>
    <row r="1" customFormat="false" ht="15" hidden="false" customHeight="false" outlineLevel="0" collapsed="false">
      <c r="A1" s="8" t="s">
        <v>1100</v>
      </c>
    </row>
    <row r="2" customFormat="false" ht="15" hidden="false" customHeight="false" outlineLevel="0" collapsed="false">
      <c r="A2" s="9" t="s">
        <v>1101</v>
      </c>
    </row>
    <row r="3" customFormat="false" ht="15" hidden="false" customHeight="false" outlineLevel="0" collapsed="false">
      <c r="A3" s="5" t="s">
        <v>323</v>
      </c>
      <c r="B3" s="5" t="s">
        <v>342</v>
      </c>
      <c r="C3" s="5" t="s">
        <v>228</v>
      </c>
      <c r="D3" s="5" t="s">
        <v>343</v>
      </c>
      <c r="E3" s="5" t="s">
        <v>284</v>
      </c>
      <c r="F3" s="5" t="s">
        <v>344</v>
      </c>
      <c r="G3" s="5" t="s">
        <v>345</v>
      </c>
      <c r="H3" s="5" t="s">
        <v>346</v>
      </c>
    </row>
    <row r="4" customFormat="false" ht="15" hidden="false" customHeight="false" outlineLevel="0" collapsed="false">
      <c r="A4" s="10" t="s">
        <v>1084</v>
      </c>
      <c r="B4" s="10" t="n">
        <v>1</v>
      </c>
      <c r="C4" s="10" t="s">
        <v>879</v>
      </c>
      <c r="D4" s="10" t="n">
        <v>12</v>
      </c>
      <c r="E4" s="10" t="n">
        <v>8.91</v>
      </c>
      <c r="F4" s="10" t="n">
        <v>12</v>
      </c>
      <c r="G4" s="10" t="n">
        <v>0</v>
      </c>
      <c r="H4" s="10" t="n">
        <f aca="false">D4-F4-G4</f>
        <v>0</v>
      </c>
    </row>
    <row r="5" customFormat="false" ht="15" hidden="false" customHeight="false" outlineLevel="0" collapsed="false">
      <c r="A5" s="10" t="s">
        <v>1084</v>
      </c>
      <c r="B5" s="10" t="n">
        <v>2</v>
      </c>
      <c r="C5" s="10" t="s">
        <v>882</v>
      </c>
      <c r="D5" s="10" t="n">
        <v>12</v>
      </c>
      <c r="E5" s="10" t="n">
        <v>8.91</v>
      </c>
      <c r="F5" s="10" t="n">
        <v>12</v>
      </c>
      <c r="G5" s="10" t="n">
        <v>0</v>
      </c>
      <c r="H5" s="10" t="n">
        <f aca="false">D5-F5-G5</f>
        <v>0</v>
      </c>
    </row>
    <row r="6" customFormat="false" ht="15" hidden="false" customHeight="false" outlineLevel="0" collapsed="false">
      <c r="A6" s="10" t="s">
        <v>1086</v>
      </c>
      <c r="B6" s="10" t="n">
        <v>1</v>
      </c>
      <c r="C6" s="10" t="s">
        <v>882</v>
      </c>
      <c r="D6" s="10" t="n">
        <v>12</v>
      </c>
      <c r="E6" s="10" t="n">
        <v>8.91</v>
      </c>
      <c r="F6" s="10" t="n">
        <v>8</v>
      </c>
      <c r="G6" s="10" t="n">
        <v>0</v>
      </c>
      <c r="H6" s="10" t="n">
        <f aca="false">D6-F6-G6</f>
        <v>4</v>
      </c>
    </row>
    <row r="7" customFormat="false" ht="15" hidden="false" customHeight="false" outlineLevel="0" collapsed="false">
      <c r="A7" s="10" t="s">
        <v>1086</v>
      </c>
      <c r="B7" s="10" t="n">
        <v>2</v>
      </c>
      <c r="C7" s="10" t="s">
        <v>885</v>
      </c>
      <c r="D7" s="10" t="n">
        <v>8</v>
      </c>
      <c r="E7" s="10" t="n">
        <v>8.91</v>
      </c>
      <c r="F7" s="10" t="n">
        <v>8</v>
      </c>
      <c r="G7" s="10" t="n">
        <v>0</v>
      </c>
      <c r="H7" s="10" t="n">
        <f aca="false">D7-F7-G7</f>
        <v>0</v>
      </c>
    </row>
    <row r="8" customFormat="false" ht="15" hidden="false" customHeight="false" outlineLevel="0" collapsed="false">
      <c r="A8" s="10" t="s">
        <v>1087</v>
      </c>
      <c r="B8" s="10" t="n">
        <v>1</v>
      </c>
      <c r="C8" s="10" t="s">
        <v>882</v>
      </c>
      <c r="D8" s="10" t="n">
        <v>10</v>
      </c>
      <c r="E8" s="10" t="n">
        <v>8.91</v>
      </c>
      <c r="F8" s="10" t="n">
        <v>0</v>
      </c>
      <c r="G8" s="10" t="n">
        <v>0</v>
      </c>
      <c r="H8" s="10" t="n">
        <f aca="false">D8-F8-G8</f>
        <v>10</v>
      </c>
    </row>
    <row r="9" customFormat="false" ht="15" hidden="false" customHeight="false" outlineLevel="0" collapsed="false">
      <c r="A9" s="10" t="s">
        <v>1090</v>
      </c>
      <c r="B9" s="10" t="n">
        <v>1</v>
      </c>
      <c r="C9" s="10" t="s">
        <v>906</v>
      </c>
      <c r="D9" s="10" t="n">
        <v>4</v>
      </c>
      <c r="E9" s="10" t="n">
        <v>92</v>
      </c>
      <c r="F9" s="10" t="n">
        <v>0</v>
      </c>
      <c r="G9" s="10" t="n">
        <v>0</v>
      </c>
      <c r="H9" s="10" t="n">
        <f aca="false">D9-F9-G9</f>
        <v>4</v>
      </c>
    </row>
    <row r="10" customFormat="false" ht="15" hidden="false" customHeight="false" outlineLevel="0" collapsed="false">
      <c r="A10" s="10" t="s">
        <v>1090</v>
      </c>
      <c r="B10" s="10" t="n">
        <v>2</v>
      </c>
      <c r="C10" s="10" t="s">
        <v>912</v>
      </c>
      <c r="D10" s="10" t="n">
        <v>3</v>
      </c>
      <c r="E10" s="10" t="n">
        <v>92</v>
      </c>
      <c r="F10" s="10" t="n">
        <v>0</v>
      </c>
      <c r="G10" s="10" t="n">
        <v>0</v>
      </c>
      <c r="H10" s="10" t="n">
        <f aca="false">D10-F10-G10</f>
        <v>3</v>
      </c>
    </row>
    <row r="11" customFormat="false" ht="15" hidden="false" customHeight="false" outlineLevel="0" collapsed="false">
      <c r="A11" s="10" t="s">
        <v>1091</v>
      </c>
      <c r="B11" s="10" t="n">
        <v>1</v>
      </c>
      <c r="C11" s="10" t="s">
        <v>906</v>
      </c>
      <c r="D11" s="10" t="n">
        <v>4</v>
      </c>
      <c r="E11" s="10" t="n">
        <v>92</v>
      </c>
      <c r="F11" s="10" t="n">
        <v>0</v>
      </c>
      <c r="G11" s="10" t="n">
        <v>0</v>
      </c>
      <c r="H11" s="10" t="n">
        <f aca="false">D11-F11-G11</f>
        <v>4</v>
      </c>
    </row>
    <row r="12" customFormat="false" ht="15" hidden="false" customHeight="false" outlineLevel="0" collapsed="false">
      <c r="A12" s="10" t="s">
        <v>1097</v>
      </c>
      <c r="B12" s="10" t="n">
        <v>1</v>
      </c>
      <c r="C12" s="10" t="s">
        <v>933</v>
      </c>
      <c r="D12" s="10" t="n">
        <v>12</v>
      </c>
      <c r="E12" s="10" t="n">
        <v>36.9</v>
      </c>
      <c r="F12" s="10" t="n">
        <v>0</v>
      </c>
      <c r="G12" s="10" t="n">
        <v>0</v>
      </c>
      <c r="H12" s="10" t="n">
        <f aca="false">D12-F12-G12</f>
        <v>12</v>
      </c>
    </row>
    <row r="13" customFormat="false" ht="15" hidden="false" customHeight="false" outlineLevel="0" collapsed="false">
      <c r="A13" s="10" t="s">
        <v>1098</v>
      </c>
      <c r="B13" s="10" t="n">
        <v>1</v>
      </c>
      <c r="C13" s="10" t="s">
        <v>906</v>
      </c>
      <c r="D13" s="10" t="n">
        <v>36</v>
      </c>
      <c r="E13" s="10" t="n">
        <v>64.4</v>
      </c>
      <c r="F13" s="10" t="n">
        <v>0</v>
      </c>
      <c r="G13" s="10" t="n">
        <v>0</v>
      </c>
      <c r="H13" s="10" t="n">
        <f aca="false">D13-F13-G13</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12"/>
    <col collapsed="false" customWidth="true" hidden="false" outlineLevel="0" max="4" min="4" style="0" width="17"/>
    <col collapsed="false" customWidth="true" hidden="false" outlineLevel="0" max="5" min="5" style="0" width="19"/>
    <col collapsed="false" customWidth="true" hidden="false" outlineLevel="0" max="6" min="6" style="0" width="16"/>
    <col collapsed="false" customWidth="true" hidden="false" outlineLevel="0" max="7" min="7" style="0" width="15"/>
    <col collapsed="false" customWidth="true" hidden="false" outlineLevel="0" max="8" min="8" style="0" width="13"/>
  </cols>
  <sheetData>
    <row r="1" customFormat="false" ht="15" hidden="false" customHeight="false" outlineLevel="0" collapsed="false">
      <c r="A1" s="8" t="s">
        <v>1102</v>
      </c>
    </row>
    <row r="2" customFormat="false" ht="15" hidden="false" customHeight="false" outlineLevel="0" collapsed="false">
      <c r="A2" s="9" t="s">
        <v>1103</v>
      </c>
    </row>
    <row r="3" customFormat="false" ht="15" hidden="false" customHeight="false" outlineLevel="0" collapsed="false">
      <c r="A3" s="5" t="s">
        <v>349</v>
      </c>
      <c r="B3" s="5" t="s">
        <v>323</v>
      </c>
      <c r="C3" s="5" t="s">
        <v>97</v>
      </c>
      <c r="D3" s="5" t="s">
        <v>351</v>
      </c>
      <c r="E3" s="5" t="s">
        <v>352</v>
      </c>
      <c r="F3" s="5" t="s">
        <v>353</v>
      </c>
      <c r="G3" s="5" t="s">
        <v>354</v>
      </c>
      <c r="H3" s="5" t="s">
        <v>120</v>
      </c>
    </row>
    <row r="4" customFormat="false" ht="15" hidden="false" customHeight="false" outlineLevel="0" collapsed="false">
      <c r="A4" s="10" t="s">
        <v>1104</v>
      </c>
      <c r="B4" s="10" t="s">
        <v>1084</v>
      </c>
      <c r="C4" s="10" t="s">
        <v>565</v>
      </c>
      <c r="D4" s="10" t="s">
        <v>1105</v>
      </c>
      <c r="E4" s="11" t="b">
        <f aca="false">TRUE()</f>
        <v>1</v>
      </c>
      <c r="F4" s="10" t="n">
        <v>3</v>
      </c>
      <c r="G4" s="10" t="s">
        <v>1106</v>
      </c>
      <c r="H4" s="10" t="s">
        <v>1107</v>
      </c>
    </row>
    <row r="5" customFormat="false" ht="15" hidden="false" customHeight="false" outlineLevel="0" collapsed="false">
      <c r="A5" s="10" t="s">
        <v>1108</v>
      </c>
      <c r="B5" s="10" t="s">
        <v>1086</v>
      </c>
      <c r="C5" s="10" t="s">
        <v>574</v>
      </c>
      <c r="D5" s="10" t="s">
        <v>1109</v>
      </c>
      <c r="E5" s="11" t="b">
        <f aca="false">TRUE()</f>
        <v>1</v>
      </c>
      <c r="F5" s="10" t="n">
        <v>2</v>
      </c>
      <c r="G5" s="10" t="s">
        <v>1110</v>
      </c>
      <c r="H5" s="10" t="s">
        <v>1111</v>
      </c>
    </row>
    <row r="6" customFormat="false" ht="15" hidden="false" customHeight="false" outlineLevel="0" collapsed="false">
      <c r="A6" s="10" t="s">
        <v>1112</v>
      </c>
      <c r="B6" s="10" t="s">
        <v>1090</v>
      </c>
      <c r="C6" s="10" t="s">
        <v>565</v>
      </c>
      <c r="D6" s="10" t="s">
        <v>1113</v>
      </c>
      <c r="E6" s="11" t="b">
        <f aca="false">FALSE()</f>
        <v>0</v>
      </c>
      <c r="F6" s="10" t="n">
        <v>1</v>
      </c>
      <c r="G6" s="10" t="s">
        <v>1106</v>
      </c>
      <c r="H6" s="10" t="s">
        <v>1114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3" min="2" style="0" width="12"/>
    <col collapsed="false" customWidth="true" hidden="false" outlineLevel="0" max="5" min="4" style="0" width="16"/>
    <col collapsed="false" customWidth="true" hidden="false" outlineLevel="0" max="6" min="6" style="0" width="15"/>
    <col collapsed="false" customWidth="true" hidden="false" outlineLevel="0" max="7" min="7" style="0" width="18"/>
    <col collapsed="false" customWidth="true" hidden="false" outlineLevel="0" max="8" min="8" style="0" width="38"/>
  </cols>
  <sheetData>
    <row r="1" customFormat="false" ht="15" hidden="false" customHeight="false" outlineLevel="0" collapsed="false">
      <c r="A1" s="8" t="s">
        <v>1115</v>
      </c>
    </row>
    <row r="2" customFormat="false" ht="15" hidden="false" customHeight="false" outlineLevel="0" collapsed="false">
      <c r="A2" s="9" t="s">
        <v>1116</v>
      </c>
    </row>
    <row r="3" customFormat="false" ht="15" hidden="false" customHeight="false" outlineLevel="0" collapsed="false">
      <c r="A3" s="5" t="s">
        <v>349</v>
      </c>
      <c r="B3" s="5" t="s">
        <v>342</v>
      </c>
      <c r="C3" s="5" t="s">
        <v>228</v>
      </c>
      <c r="D3" s="5" t="s">
        <v>358</v>
      </c>
      <c r="E3" s="5" t="s">
        <v>344</v>
      </c>
      <c r="F3" s="5" t="s">
        <v>359</v>
      </c>
      <c r="G3" s="5" t="s">
        <v>360</v>
      </c>
      <c r="H3" s="5" t="s">
        <v>362</v>
      </c>
    </row>
    <row r="4" customFormat="false" ht="15" hidden="false" customHeight="false" outlineLevel="0" collapsed="false">
      <c r="A4" s="10" t="s">
        <v>1104</v>
      </c>
      <c r="B4" s="10" t="n">
        <v>1</v>
      </c>
      <c r="C4" s="10" t="s">
        <v>879</v>
      </c>
      <c r="D4" s="10" t="n">
        <v>12</v>
      </c>
      <c r="E4" s="10" t="n">
        <v>12</v>
      </c>
      <c r="F4" s="10" t="n">
        <v>0</v>
      </c>
      <c r="G4" s="10" t="n">
        <f aca="false">E4-D4</f>
        <v>0</v>
      </c>
      <c r="H4" s="10"/>
    </row>
    <row r="5" customFormat="false" ht="15" hidden="false" customHeight="false" outlineLevel="0" collapsed="false">
      <c r="A5" s="10" t="s">
        <v>1104</v>
      </c>
      <c r="B5" s="10" t="n">
        <v>2</v>
      </c>
      <c r="C5" s="10" t="s">
        <v>882</v>
      </c>
      <c r="D5" s="10" t="n">
        <v>12</v>
      </c>
      <c r="E5" s="10" t="n">
        <v>12</v>
      </c>
      <c r="F5" s="10" t="n">
        <v>0</v>
      </c>
      <c r="G5" s="10" t="n">
        <f aca="false">E5-D5</f>
        <v>0</v>
      </c>
      <c r="H5" s="10"/>
    </row>
    <row r="6" customFormat="false" ht="15" hidden="false" customHeight="false" outlineLevel="0" collapsed="false">
      <c r="A6" s="10" t="s">
        <v>1108</v>
      </c>
      <c r="B6" s="10" t="n">
        <v>1</v>
      </c>
      <c r="C6" s="10" t="s">
        <v>882</v>
      </c>
      <c r="D6" s="10" t="n">
        <v>12</v>
      </c>
      <c r="E6" s="10" t="n">
        <v>8</v>
      </c>
      <c r="F6" s="10" t="n">
        <v>0</v>
      </c>
      <c r="G6" s="10" t="n">
        <f aca="false">E6-D6</f>
        <v>-4</v>
      </c>
      <c r="H6" s="10" t="s">
        <v>1117</v>
      </c>
    </row>
    <row r="7" customFormat="false" ht="15" hidden="false" customHeight="false" outlineLevel="0" collapsed="false">
      <c r="A7" s="10" t="s">
        <v>1108</v>
      </c>
      <c r="B7" s="10" t="n">
        <v>2</v>
      </c>
      <c r="C7" s="10" t="s">
        <v>885</v>
      </c>
      <c r="D7" s="10" t="n">
        <v>8</v>
      </c>
      <c r="E7" s="10" t="n">
        <v>8</v>
      </c>
      <c r="F7" s="10" t="n">
        <v>1</v>
      </c>
      <c r="G7" s="10" t="n">
        <f aca="false">E7-D7</f>
        <v>0</v>
      </c>
      <c r="H7" s="10" t="s">
        <v>1118</v>
      </c>
    </row>
    <row r="8" customFormat="false" ht="15" hidden="false" customHeight="false" outlineLevel="0" collapsed="false">
      <c r="A8" s="10" t="s">
        <v>1112</v>
      </c>
      <c r="B8" s="10" t="n">
        <v>1</v>
      </c>
      <c r="C8" s="10" t="s">
        <v>906</v>
      </c>
      <c r="D8" s="10" t="n">
        <v>4</v>
      </c>
      <c r="E8" s="10" t="n">
        <v>2</v>
      </c>
      <c r="F8" s="10" t="n">
        <v>0</v>
      </c>
      <c r="G8" s="10" t="n">
        <f aca="false">E8-D8</f>
        <v>-2</v>
      </c>
      <c r="H8" s="10" t="s">
        <v>1119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3" min="3" style="0" width="23"/>
    <col collapsed="false" customWidth="true" hidden="false" outlineLevel="0" max="4" min="4" style="0" width="13"/>
    <col collapsed="false" customWidth="true" hidden="false" outlineLevel="0" max="5" min="5" style="0" width="16"/>
    <col collapsed="false" customWidth="true" hidden="false" outlineLevel="0" max="6" min="6" style="0" width="12"/>
    <col collapsed="false" customWidth="true" hidden="false" outlineLevel="0" max="7" min="7" style="0" width="16"/>
    <col collapsed="false" customWidth="true" hidden="false" outlineLevel="0" max="8" min="8" style="0" width="18"/>
    <col collapsed="false" customWidth="true" hidden="false" outlineLevel="0" max="10" min="9" style="0" width="17"/>
    <col collapsed="false" customWidth="true" hidden="false" outlineLevel="0" max="11" min="11" style="0" width="12"/>
  </cols>
  <sheetData>
    <row r="1" customFormat="false" ht="15" hidden="false" customHeight="false" outlineLevel="0" collapsed="false">
      <c r="A1" s="8" t="s">
        <v>1120</v>
      </c>
    </row>
    <row r="2" customFormat="false" ht="15" hidden="false" customHeight="false" outlineLevel="0" collapsed="false">
      <c r="A2" s="9" t="s">
        <v>1121</v>
      </c>
    </row>
    <row r="3" customFormat="false" ht="15" hidden="false" customHeight="false" outlineLevel="0" collapsed="false">
      <c r="A3" s="5" t="s">
        <v>364</v>
      </c>
      <c r="B3" s="5" t="s">
        <v>123</v>
      </c>
      <c r="C3" s="5" t="s">
        <v>366</v>
      </c>
      <c r="D3" s="5" t="s">
        <v>323</v>
      </c>
      <c r="E3" s="5" t="s">
        <v>368</v>
      </c>
      <c r="F3" s="5" t="s">
        <v>369</v>
      </c>
      <c r="G3" s="5" t="s">
        <v>370</v>
      </c>
      <c r="H3" s="5" t="s">
        <v>371</v>
      </c>
      <c r="I3" s="5" t="s">
        <v>372</v>
      </c>
      <c r="J3" s="5" t="s">
        <v>373</v>
      </c>
      <c r="K3" s="5" t="s">
        <v>120</v>
      </c>
    </row>
    <row r="4" customFormat="false" ht="15" hidden="false" customHeight="false" outlineLevel="0" collapsed="false">
      <c r="A4" s="10" t="s">
        <v>1122</v>
      </c>
      <c r="B4" s="10" t="s">
        <v>616</v>
      </c>
      <c r="C4" s="10" t="s">
        <v>1123</v>
      </c>
      <c r="D4" s="10" t="s">
        <v>1084</v>
      </c>
      <c r="E4" s="10" t="s">
        <v>1105</v>
      </c>
      <c r="F4" s="10" t="s">
        <v>1124</v>
      </c>
      <c r="G4" s="10" t="n">
        <v>213.84</v>
      </c>
      <c r="H4" s="10" t="n">
        <v>0</v>
      </c>
      <c r="I4" s="10" t="n">
        <v>0</v>
      </c>
      <c r="J4" s="10" t="n">
        <f aca="false">G4+H4+I4</f>
        <v>213.84</v>
      </c>
      <c r="K4" s="10" t="s">
        <v>1125</v>
      </c>
    </row>
    <row r="5" customFormat="false" ht="15" hidden="false" customHeight="false" outlineLevel="0" collapsed="false">
      <c r="A5" s="10" t="s">
        <v>1126</v>
      </c>
      <c r="B5" s="10" t="s">
        <v>616</v>
      </c>
      <c r="C5" s="10" t="s">
        <v>1123</v>
      </c>
      <c r="D5" s="10" t="s">
        <v>1086</v>
      </c>
      <c r="E5" s="10" t="s">
        <v>1109</v>
      </c>
      <c r="F5" s="10" t="s">
        <v>1127</v>
      </c>
      <c r="G5" s="10" t="n">
        <v>178.2</v>
      </c>
      <c r="H5" s="10" t="n">
        <v>0</v>
      </c>
      <c r="I5" s="10" t="n">
        <v>0</v>
      </c>
      <c r="J5" s="10" t="n">
        <f aca="false">G5+H5+I5</f>
        <v>178.2</v>
      </c>
      <c r="K5" s="10" t="s">
        <v>1128</v>
      </c>
    </row>
    <row r="6" customFormat="false" ht="15" hidden="false" customHeight="false" outlineLevel="0" collapsed="false">
      <c r="A6" s="10" t="s">
        <v>1129</v>
      </c>
      <c r="B6" s="10" t="s">
        <v>623</v>
      </c>
      <c r="C6" s="10" t="s">
        <v>1130</v>
      </c>
      <c r="D6" s="10" t="s">
        <v>1090</v>
      </c>
      <c r="E6" s="10" t="s">
        <v>1113</v>
      </c>
      <c r="F6" s="10" t="s">
        <v>1131</v>
      </c>
      <c r="G6" s="10" t="n">
        <v>644</v>
      </c>
      <c r="H6" s="10" t="n">
        <v>42.5</v>
      </c>
      <c r="I6" s="10" t="n">
        <v>0</v>
      </c>
      <c r="J6" s="10" t="n">
        <f aca="false">G6+H6+I6</f>
        <v>686.5</v>
      </c>
      <c r="K6" s="10" t="s">
        <v>1128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6"/>
    <col collapsed="false" customWidth="true" hidden="false" outlineLevel="0" max="5" min="5" style="0" width="13"/>
    <col collapsed="false" customWidth="true" hidden="false" outlineLevel="0" max="6" min="6" style="0" width="14"/>
  </cols>
  <sheetData>
    <row r="1" customFormat="false" ht="15" hidden="false" customHeight="false" outlineLevel="0" collapsed="false">
      <c r="A1" s="8" t="s">
        <v>1132</v>
      </c>
    </row>
    <row r="2" customFormat="false" ht="15" hidden="false" customHeight="false" outlineLevel="0" collapsed="false">
      <c r="A2" s="9" t="s">
        <v>1121</v>
      </c>
    </row>
    <row r="3" customFormat="false" ht="15" hidden="false" customHeight="false" outlineLevel="0" collapsed="false">
      <c r="A3" s="5" t="s">
        <v>364</v>
      </c>
      <c r="B3" s="5" t="s">
        <v>342</v>
      </c>
      <c r="C3" s="5" t="s">
        <v>228</v>
      </c>
      <c r="D3" s="5" t="s">
        <v>377</v>
      </c>
      <c r="E3" s="5" t="s">
        <v>284</v>
      </c>
      <c r="F3" s="5" t="s">
        <v>378</v>
      </c>
    </row>
    <row r="4" customFormat="false" ht="15" hidden="false" customHeight="false" outlineLevel="0" collapsed="false">
      <c r="A4" s="10" t="s">
        <v>1122</v>
      </c>
      <c r="B4" s="10" t="n">
        <v>1</v>
      </c>
      <c r="C4" s="10" t="s">
        <v>879</v>
      </c>
      <c r="D4" s="10" t="n">
        <v>12</v>
      </c>
      <c r="E4" s="10" t="n">
        <v>8.91</v>
      </c>
      <c r="F4" s="10" t="n">
        <f aca="false">D4*E4</f>
        <v>106.92</v>
      </c>
    </row>
    <row r="5" customFormat="false" ht="15" hidden="false" customHeight="false" outlineLevel="0" collapsed="false">
      <c r="A5" s="10" t="s">
        <v>1122</v>
      </c>
      <c r="B5" s="10" t="n">
        <v>2</v>
      </c>
      <c r="C5" s="10" t="s">
        <v>882</v>
      </c>
      <c r="D5" s="10" t="n">
        <v>12</v>
      </c>
      <c r="E5" s="10" t="n">
        <v>8.91</v>
      </c>
      <c r="F5" s="10" t="n">
        <f aca="false">D5*E5</f>
        <v>106.92</v>
      </c>
    </row>
    <row r="6" customFormat="false" ht="15" hidden="false" customHeight="false" outlineLevel="0" collapsed="false">
      <c r="A6" s="10" t="s">
        <v>1126</v>
      </c>
      <c r="B6" s="10" t="n">
        <v>1</v>
      </c>
      <c r="C6" s="10" t="s">
        <v>882</v>
      </c>
      <c r="D6" s="10" t="n">
        <v>12</v>
      </c>
      <c r="E6" s="10" t="n">
        <v>8.91</v>
      </c>
      <c r="F6" s="10" t="n">
        <f aca="false">D6*E6</f>
        <v>106.92</v>
      </c>
    </row>
    <row r="7" customFormat="false" ht="15" hidden="false" customHeight="false" outlineLevel="0" collapsed="false">
      <c r="A7" s="10" t="s">
        <v>1126</v>
      </c>
      <c r="B7" s="10" t="n">
        <v>2</v>
      </c>
      <c r="C7" s="10" t="s">
        <v>885</v>
      </c>
      <c r="D7" s="10" t="n">
        <v>8</v>
      </c>
      <c r="E7" s="10" t="n">
        <v>8.91</v>
      </c>
      <c r="F7" s="10" t="n">
        <f aca="false">D7*E7</f>
        <v>71.28</v>
      </c>
    </row>
    <row r="8" customFormat="false" ht="15" hidden="false" customHeight="false" outlineLevel="0" collapsed="false">
      <c r="A8" s="10" t="s">
        <v>1129</v>
      </c>
      <c r="B8" s="10" t="n">
        <v>1</v>
      </c>
      <c r="C8" s="10" t="s">
        <v>906</v>
      </c>
      <c r="D8" s="10" t="n">
        <v>4</v>
      </c>
      <c r="E8" s="10" t="n">
        <v>94</v>
      </c>
      <c r="F8" s="10" t="n">
        <f aca="false">D8*E8</f>
        <v>376</v>
      </c>
    </row>
    <row r="9" customFormat="false" ht="15" hidden="false" customHeight="false" outlineLevel="0" collapsed="false">
      <c r="A9" s="10" t="s">
        <v>1129</v>
      </c>
      <c r="B9" s="10" t="n">
        <v>2</v>
      </c>
      <c r="C9" s="10" t="s">
        <v>912</v>
      </c>
      <c r="D9" s="10" t="n">
        <v>3</v>
      </c>
      <c r="E9" s="10" t="n">
        <v>92</v>
      </c>
      <c r="F9" s="10" t="n">
        <f aca="false">D9*E9</f>
        <v>276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4DBE"/>
    <pageSetUpPr fitToPage="false"/>
  </sheetPr>
  <dimension ref="A1:N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5"/>
    <col collapsed="false" customWidth="true" hidden="false" outlineLevel="0" max="4" min="4" style="0" width="14"/>
    <col collapsed="false" customWidth="true" hidden="false" outlineLevel="0" max="6" min="5" style="0" width="12"/>
    <col collapsed="false" customWidth="true" hidden="false" outlineLevel="0" max="8" min="7" style="0" width="16"/>
    <col collapsed="false" customWidth="true" hidden="false" outlineLevel="0" max="9" min="9" style="0" width="12"/>
    <col collapsed="false" customWidth="true" hidden="false" outlineLevel="0" max="10" min="10" style="0" width="17"/>
    <col collapsed="false" customWidth="true" hidden="false" outlineLevel="0" max="11" min="11" style="0" width="19"/>
    <col collapsed="false" customWidth="true" hidden="false" outlineLevel="0" max="12" min="12" style="0" width="36"/>
    <col collapsed="false" customWidth="true" hidden="false" outlineLevel="0" max="13" min="13" style="0" width="55"/>
    <col collapsed="false" customWidth="true" hidden="false" outlineLevel="0" max="14" min="14" style="0" width="15"/>
  </cols>
  <sheetData>
    <row r="1" customFormat="false" ht="15" hidden="false" customHeight="false" outlineLevel="0" collapsed="false">
      <c r="A1" s="8" t="s">
        <v>1133</v>
      </c>
    </row>
    <row r="2" customFormat="false" ht="15" hidden="false" customHeight="false" outlineLevel="0" collapsed="false">
      <c r="A2" s="9" t="s">
        <v>1134</v>
      </c>
    </row>
    <row r="3" customFormat="false" ht="15" hidden="false" customHeight="false" outlineLevel="0" collapsed="false">
      <c r="A3" s="5" t="s">
        <v>382</v>
      </c>
      <c r="B3" s="5" t="s">
        <v>323</v>
      </c>
      <c r="C3" s="5" t="s">
        <v>349</v>
      </c>
      <c r="D3" s="5" t="s">
        <v>364</v>
      </c>
      <c r="E3" s="5" t="s">
        <v>228</v>
      </c>
      <c r="F3" s="5" t="s">
        <v>384</v>
      </c>
      <c r="G3" s="5" t="s">
        <v>344</v>
      </c>
      <c r="H3" s="5" t="s">
        <v>377</v>
      </c>
      <c r="I3" s="5" t="s">
        <v>385</v>
      </c>
      <c r="J3" s="5" t="s">
        <v>386</v>
      </c>
      <c r="K3" s="5" t="s">
        <v>387</v>
      </c>
      <c r="L3" s="5" t="s">
        <v>389</v>
      </c>
      <c r="M3" s="5" t="s">
        <v>391</v>
      </c>
      <c r="N3" s="5" t="s">
        <v>120</v>
      </c>
    </row>
    <row r="4" customFormat="false" ht="15" hidden="false" customHeight="false" outlineLevel="0" collapsed="false">
      <c r="A4" s="10" t="s">
        <v>1135</v>
      </c>
      <c r="B4" s="10" t="s">
        <v>1084</v>
      </c>
      <c r="C4" s="10" t="s">
        <v>1104</v>
      </c>
      <c r="D4" s="10" t="s">
        <v>1122</v>
      </c>
      <c r="E4" s="10" t="s">
        <v>879</v>
      </c>
      <c r="F4" s="10" t="n">
        <v>12</v>
      </c>
      <c r="G4" s="10" t="n">
        <v>12</v>
      </c>
      <c r="H4" s="10" t="n">
        <v>12</v>
      </c>
      <c r="I4" s="10" t="n">
        <v>8.91</v>
      </c>
      <c r="J4" s="10" t="n">
        <v>8.91</v>
      </c>
      <c r="K4" s="10" t="s">
        <v>674</v>
      </c>
      <c r="L4" s="10" t="n">
        <v>0</v>
      </c>
      <c r="M4" s="10" t="s">
        <v>1136</v>
      </c>
      <c r="N4" s="10" t="s">
        <v>1137</v>
      </c>
    </row>
    <row r="5" customFormat="false" ht="15" hidden="false" customHeight="false" outlineLevel="0" collapsed="false">
      <c r="A5" s="10" t="s">
        <v>1138</v>
      </c>
      <c r="B5" s="10" t="s">
        <v>1086</v>
      </c>
      <c r="C5" s="10" t="s">
        <v>1108</v>
      </c>
      <c r="D5" s="10" t="s">
        <v>1126</v>
      </c>
      <c r="E5" s="10" t="s">
        <v>882</v>
      </c>
      <c r="F5" s="10" t="n">
        <v>12</v>
      </c>
      <c r="G5" s="10" t="n">
        <v>8</v>
      </c>
      <c r="H5" s="10" t="n">
        <v>12</v>
      </c>
      <c r="I5" s="10" t="n">
        <v>8.91</v>
      </c>
      <c r="J5" s="10" t="n">
        <v>8.91</v>
      </c>
      <c r="K5" s="10" t="s">
        <v>1139</v>
      </c>
      <c r="L5" s="10" t="n">
        <f aca="false">(H5-G5)*J5</f>
        <v>35.64</v>
      </c>
      <c r="M5" s="10" t="s">
        <v>1140</v>
      </c>
      <c r="N5" s="10" t="s">
        <v>1141</v>
      </c>
    </row>
    <row r="6" customFormat="false" ht="15" hidden="false" customHeight="false" outlineLevel="0" collapsed="false">
      <c r="A6" s="10" t="s">
        <v>1142</v>
      </c>
      <c r="B6" s="10" t="s">
        <v>1086</v>
      </c>
      <c r="C6" s="10" t="s">
        <v>1108</v>
      </c>
      <c r="D6" s="10" t="s">
        <v>1126</v>
      </c>
      <c r="E6" s="10" t="s">
        <v>885</v>
      </c>
      <c r="F6" s="10" t="n">
        <v>8</v>
      </c>
      <c r="G6" s="10" t="n">
        <v>7</v>
      </c>
      <c r="H6" s="10" t="n">
        <v>8</v>
      </c>
      <c r="I6" s="10" t="n">
        <v>8.91</v>
      </c>
      <c r="J6" s="10" t="n">
        <v>8.91</v>
      </c>
      <c r="K6" s="10" t="s">
        <v>1139</v>
      </c>
      <c r="L6" s="10" t="n">
        <f aca="false">(H6-G6)*J6</f>
        <v>8.91</v>
      </c>
      <c r="M6" s="10" t="s">
        <v>1143</v>
      </c>
      <c r="N6" s="10" t="s">
        <v>1141</v>
      </c>
    </row>
    <row r="7" customFormat="false" ht="15" hidden="false" customHeight="false" outlineLevel="0" collapsed="false">
      <c r="A7" s="10" t="s">
        <v>1144</v>
      </c>
      <c r="B7" s="10" t="s">
        <v>1090</v>
      </c>
      <c r="C7" s="10" t="s">
        <v>1112</v>
      </c>
      <c r="D7" s="10" t="s">
        <v>1129</v>
      </c>
      <c r="E7" s="10" t="s">
        <v>906</v>
      </c>
      <c r="F7" s="10" t="n">
        <v>4</v>
      </c>
      <c r="G7" s="10" t="n">
        <v>2</v>
      </c>
      <c r="H7" s="10" t="n">
        <v>4</v>
      </c>
      <c r="I7" s="10" t="n">
        <v>92</v>
      </c>
      <c r="J7" s="10" t="n">
        <v>94</v>
      </c>
      <c r="K7" s="10" t="s">
        <v>1145</v>
      </c>
      <c r="L7" s="10" t="n">
        <f aca="false">H7*(J7-I7)+(H7-G7)*I7</f>
        <v>192</v>
      </c>
      <c r="M7" s="10" t="s">
        <v>1146</v>
      </c>
      <c r="N7" s="10" t="s">
        <v>1147</v>
      </c>
    </row>
    <row r="8" customFormat="false" ht="15" hidden="false" customHeight="false" outlineLevel="0" collapsed="false">
      <c r="A8" s="10" t="s">
        <v>1148</v>
      </c>
      <c r="B8" s="10" t="s">
        <v>1090</v>
      </c>
      <c r="C8" s="10" t="s">
        <v>1112</v>
      </c>
      <c r="D8" s="10" t="s">
        <v>1129</v>
      </c>
      <c r="E8" s="10" t="s">
        <v>912</v>
      </c>
      <c r="F8" s="10" t="n">
        <v>3</v>
      </c>
      <c r="G8" s="10" t="n">
        <v>3</v>
      </c>
      <c r="H8" s="10" t="n">
        <v>3</v>
      </c>
      <c r="I8" s="10" t="n">
        <v>92</v>
      </c>
      <c r="J8" s="10" t="n">
        <v>92</v>
      </c>
      <c r="K8" s="10" t="s">
        <v>1149</v>
      </c>
      <c r="L8" s="10" t="n">
        <v>42.5</v>
      </c>
      <c r="M8" s="10" t="s">
        <v>1150</v>
      </c>
      <c r="N8" s="10" t="s">
        <v>1141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4"/>
    <col collapsed="false" customWidth="true" hidden="false" outlineLevel="0" max="5" min="3" style="0" width="12"/>
    <col collapsed="false" customWidth="true" hidden="false" outlineLevel="0" max="6" min="6" style="0" width="16"/>
    <col collapsed="false" customWidth="true" hidden="false" outlineLevel="0" max="7" min="7" style="0" width="18"/>
    <col collapsed="false" customWidth="true" hidden="false" outlineLevel="0" max="8" min="8" style="0" width="16"/>
    <col collapsed="false" customWidth="true" hidden="false" outlineLevel="0" max="9" min="9" style="0" width="12"/>
  </cols>
  <sheetData>
    <row r="1" customFormat="false" ht="15" hidden="false" customHeight="false" outlineLevel="0" collapsed="false">
      <c r="A1" s="8" t="s">
        <v>1151</v>
      </c>
    </row>
    <row r="2" customFormat="false" ht="15" hidden="false" customHeight="false" outlineLevel="0" collapsed="false">
      <c r="A2" s="9" t="s">
        <v>1152</v>
      </c>
    </row>
    <row r="3" customFormat="false" ht="15" hidden="false" customHeight="false" outlineLevel="0" collapsed="false">
      <c r="A3" s="5" t="s">
        <v>394</v>
      </c>
      <c r="B3" s="5" t="s">
        <v>396</v>
      </c>
      <c r="C3" s="5" t="s">
        <v>397</v>
      </c>
      <c r="D3" s="5" t="s">
        <v>228</v>
      </c>
      <c r="E3" s="5" t="s">
        <v>398</v>
      </c>
      <c r="F3" s="5" t="s">
        <v>399</v>
      </c>
      <c r="G3" s="5" t="s">
        <v>294</v>
      </c>
      <c r="H3" s="5" t="s">
        <v>402</v>
      </c>
      <c r="I3" s="5" t="s">
        <v>120</v>
      </c>
    </row>
    <row r="4" customFormat="false" ht="15" hidden="false" customHeight="false" outlineLevel="0" collapsed="false">
      <c r="A4" s="10" t="s">
        <v>1153</v>
      </c>
      <c r="B4" s="10" t="s">
        <v>574</v>
      </c>
      <c r="C4" s="10" t="s">
        <v>565</v>
      </c>
      <c r="D4" s="10" t="s">
        <v>906</v>
      </c>
      <c r="E4" s="10" t="n">
        <v>2</v>
      </c>
      <c r="F4" s="10" t="s">
        <v>1154</v>
      </c>
      <c r="G4" s="10" t="s">
        <v>1026</v>
      </c>
      <c r="H4" s="10" t="s">
        <v>1155</v>
      </c>
      <c r="I4" s="10" t="s">
        <v>1156</v>
      </c>
    </row>
    <row r="5" customFormat="false" ht="15" hidden="false" customHeight="false" outlineLevel="0" collapsed="false">
      <c r="A5" s="10" t="s">
        <v>1157</v>
      </c>
      <c r="B5" s="10" t="s">
        <v>577</v>
      </c>
      <c r="C5" s="10" t="s">
        <v>565</v>
      </c>
      <c r="D5" s="10" t="s">
        <v>879</v>
      </c>
      <c r="E5" s="10" t="n">
        <v>4</v>
      </c>
      <c r="F5" s="10" t="s">
        <v>1154</v>
      </c>
      <c r="G5" s="10" t="s">
        <v>1026</v>
      </c>
      <c r="H5" s="10" t="s">
        <v>1155</v>
      </c>
      <c r="I5" s="10" t="s">
        <v>1158</v>
      </c>
    </row>
    <row r="6" customFormat="false" ht="15" hidden="false" customHeight="false" outlineLevel="0" collapsed="false">
      <c r="A6" s="10" t="s">
        <v>1159</v>
      </c>
      <c r="B6" s="10" t="s">
        <v>588</v>
      </c>
      <c r="C6" s="10" t="s">
        <v>584</v>
      </c>
      <c r="D6" s="10" t="s">
        <v>935</v>
      </c>
      <c r="E6" s="10" t="n">
        <v>3</v>
      </c>
      <c r="F6" s="10" t="s">
        <v>1154</v>
      </c>
      <c r="G6" s="10" t="s">
        <v>1026</v>
      </c>
      <c r="H6" s="10" t="s">
        <v>1113</v>
      </c>
      <c r="I6" s="10" t="s">
        <v>1160</v>
      </c>
    </row>
    <row r="7" customFormat="false" ht="15" hidden="false" customHeight="false" outlineLevel="0" collapsed="false">
      <c r="A7" s="10" t="s">
        <v>1161</v>
      </c>
      <c r="B7" s="10" t="s">
        <v>565</v>
      </c>
      <c r="C7" s="10" t="s">
        <v>609</v>
      </c>
      <c r="D7" s="10" t="s">
        <v>882</v>
      </c>
      <c r="E7" s="10" t="n">
        <v>6</v>
      </c>
      <c r="F7" s="10" t="s">
        <v>1162</v>
      </c>
      <c r="G7" s="10" t="s">
        <v>540</v>
      </c>
      <c r="H7" s="10" t="s">
        <v>1113</v>
      </c>
      <c r="I7" s="10" t="s">
        <v>1085</v>
      </c>
    </row>
    <row r="8" customFormat="false" ht="15" hidden="false" customHeight="false" outlineLevel="0" collapsed="false">
      <c r="A8" s="10" t="s">
        <v>1163</v>
      </c>
      <c r="B8" s="10" t="s">
        <v>594</v>
      </c>
      <c r="C8" s="10" t="s">
        <v>591</v>
      </c>
      <c r="D8" s="10" t="s">
        <v>922</v>
      </c>
      <c r="E8" s="10" t="n">
        <v>3</v>
      </c>
      <c r="F8" s="10" t="s">
        <v>1154</v>
      </c>
      <c r="G8" s="10" t="s">
        <v>1026</v>
      </c>
      <c r="H8" s="10" t="s">
        <v>1069</v>
      </c>
      <c r="I8" s="10" t="s">
        <v>1160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E9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2" min="2" style="0" width="13"/>
    <col collapsed="false" customWidth="true" hidden="false" outlineLevel="0" max="3" min="3" style="0" width="14"/>
    <col collapsed="false" customWidth="true" hidden="false" outlineLevel="0" max="4" min="4" style="0" width="12"/>
    <col collapsed="false" customWidth="true" hidden="false" outlineLevel="0" max="5" min="5" style="0" width="13"/>
    <col collapsed="false" customWidth="true" hidden="false" outlineLevel="0" max="6" min="6" style="0" width="16"/>
    <col collapsed="false" customWidth="true" hidden="false" outlineLevel="0" max="7" min="7" style="0" width="19"/>
    <col collapsed="false" customWidth="true" hidden="false" outlineLevel="0" max="8" min="8" style="0" width="18"/>
  </cols>
  <sheetData>
    <row r="1" customFormat="false" ht="15" hidden="false" customHeight="false" outlineLevel="0" collapsed="false">
      <c r="A1" s="8" t="s">
        <v>1164</v>
      </c>
    </row>
    <row r="2" customFormat="false" ht="15" hidden="false" customHeight="false" outlineLevel="0" collapsed="false">
      <c r="A2" s="9" t="s">
        <v>1165</v>
      </c>
    </row>
    <row r="3" customFormat="false" ht="15" hidden="false" customHeight="false" outlineLevel="0" collapsed="false">
      <c r="A3" s="5" t="s">
        <v>315</v>
      </c>
      <c r="B3" s="5" t="s">
        <v>123</v>
      </c>
      <c r="C3" s="5" t="s">
        <v>240</v>
      </c>
      <c r="D3" s="5" t="s">
        <v>228</v>
      </c>
      <c r="E3" s="5" t="s">
        <v>408</v>
      </c>
      <c r="F3" s="5" t="s">
        <v>409</v>
      </c>
      <c r="G3" s="5" t="s">
        <v>410</v>
      </c>
      <c r="H3" s="5" t="s">
        <v>412</v>
      </c>
    </row>
    <row r="4" customFormat="false" ht="15" hidden="false" customHeight="false" outlineLevel="0" collapsed="false">
      <c r="A4" s="10" t="s">
        <v>1069</v>
      </c>
      <c r="B4" s="10" t="s">
        <v>616</v>
      </c>
      <c r="C4" s="10" t="s">
        <v>940</v>
      </c>
      <c r="D4" s="10" t="s">
        <v>879</v>
      </c>
      <c r="E4" s="10" t="n">
        <v>18400</v>
      </c>
      <c r="F4" s="10" t="s">
        <v>1166</v>
      </c>
      <c r="G4" s="10"/>
      <c r="H4" s="10" t="s">
        <v>620</v>
      </c>
    </row>
    <row r="5" customFormat="false" ht="15" hidden="false" customHeight="false" outlineLevel="0" collapsed="false">
      <c r="A5" s="10" t="s">
        <v>1069</v>
      </c>
      <c r="B5" s="10" t="s">
        <v>616</v>
      </c>
      <c r="C5" s="10" t="s">
        <v>942</v>
      </c>
      <c r="D5" s="10" t="s">
        <v>882</v>
      </c>
      <c r="E5" s="10" t="n">
        <v>22100</v>
      </c>
      <c r="F5" s="10" t="s">
        <v>1166</v>
      </c>
      <c r="G5" s="10"/>
      <c r="H5" s="10" t="s">
        <v>620</v>
      </c>
    </row>
    <row r="6" customFormat="false" ht="15" hidden="false" customHeight="false" outlineLevel="0" collapsed="false">
      <c r="A6" s="10" t="s">
        <v>1069</v>
      </c>
      <c r="B6" s="10" t="s">
        <v>623</v>
      </c>
      <c r="C6" s="10" t="s">
        <v>944</v>
      </c>
      <c r="D6" s="10" t="s">
        <v>906</v>
      </c>
      <c r="E6" s="10" t="n">
        <v>0</v>
      </c>
      <c r="F6" s="10" t="s">
        <v>1167</v>
      </c>
      <c r="G6" s="10" t="s">
        <v>1168</v>
      </c>
      <c r="H6" s="10" t="s">
        <v>620</v>
      </c>
    </row>
    <row r="7" customFormat="false" ht="15" hidden="false" customHeight="false" outlineLevel="0" collapsed="false">
      <c r="A7" s="10" t="s">
        <v>1069</v>
      </c>
      <c r="B7" s="10" t="s">
        <v>623</v>
      </c>
      <c r="C7" s="10" t="s">
        <v>945</v>
      </c>
      <c r="D7" s="10" t="s">
        <v>912</v>
      </c>
      <c r="E7" s="10" t="n">
        <v>640</v>
      </c>
      <c r="F7" s="10" t="s">
        <v>1167</v>
      </c>
      <c r="G7" s="10"/>
      <c r="H7" s="10" t="s">
        <v>620</v>
      </c>
    </row>
    <row r="8" customFormat="false" ht="15" hidden="false" customHeight="false" outlineLevel="0" collapsed="false">
      <c r="A8" s="10" t="s">
        <v>1069</v>
      </c>
      <c r="B8" s="10" t="s">
        <v>628</v>
      </c>
      <c r="C8" s="10" t="s">
        <v>1169</v>
      </c>
      <c r="D8" s="10"/>
      <c r="E8" s="10" t="n">
        <v>1240</v>
      </c>
      <c r="F8" s="10" t="s">
        <v>1170</v>
      </c>
      <c r="G8" s="10"/>
      <c r="H8" s="10" t="s">
        <v>632</v>
      </c>
    </row>
    <row r="9" customFormat="false" ht="15" hidden="false" customHeight="false" outlineLevel="0" collapsed="false">
      <c r="A9" s="10" t="s">
        <v>1113</v>
      </c>
      <c r="B9" s="10" t="s">
        <v>677</v>
      </c>
      <c r="C9" s="10" t="s">
        <v>950</v>
      </c>
      <c r="D9" s="10" t="s">
        <v>933</v>
      </c>
      <c r="E9" s="10" t="n">
        <v>310</v>
      </c>
      <c r="F9" s="10" t="s">
        <v>1171</v>
      </c>
      <c r="G9" s="10"/>
      <c r="H9" s="10" t="s">
        <v>632</v>
      </c>
    </row>
    <row r="10" customFormat="false" ht="15" hidden="false" customHeight="false" outlineLevel="0" collapsed="false">
      <c r="A10" s="10" t="s">
        <v>1066</v>
      </c>
      <c r="B10" s="10" t="s">
        <v>681</v>
      </c>
      <c r="C10" s="10" t="s">
        <v>953</v>
      </c>
      <c r="D10" s="10" t="s">
        <v>951</v>
      </c>
      <c r="E10" s="10" t="n">
        <v>85</v>
      </c>
      <c r="F10" s="10" t="s">
        <v>1172</v>
      </c>
      <c r="G10" s="10"/>
      <c r="H10" s="10" t="s">
        <v>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E9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6"/>
    <col collapsed="false" customWidth="true" hidden="false" outlineLevel="0" max="3" min="3" style="0" width="13"/>
    <col collapsed="false" customWidth="true" hidden="false" outlineLevel="0" max="4" min="4" style="0" width="15"/>
    <col collapsed="false" customWidth="true" hidden="false" outlineLevel="0" max="5" min="5" style="0" width="14"/>
    <col collapsed="false" customWidth="true" hidden="false" outlineLevel="0" max="6" min="6" style="0" width="19"/>
    <col collapsed="false" customWidth="true" hidden="false" outlineLevel="0" max="7" min="7" style="0" width="15"/>
  </cols>
  <sheetData>
    <row r="1" customFormat="false" ht="15" hidden="false" customHeight="false" outlineLevel="0" collapsed="false">
      <c r="A1" s="8" t="s">
        <v>1173</v>
      </c>
    </row>
    <row r="2" customFormat="false" ht="15" hidden="false" customHeight="false" outlineLevel="0" collapsed="false">
      <c r="A2" s="9" t="s">
        <v>1174</v>
      </c>
    </row>
    <row r="3" customFormat="false" ht="15" hidden="false" customHeight="false" outlineLevel="0" collapsed="false">
      <c r="A3" s="5" t="s">
        <v>415</v>
      </c>
      <c r="B3" s="5" t="s">
        <v>110</v>
      </c>
      <c r="C3" s="5" t="s">
        <v>417</v>
      </c>
      <c r="D3" s="5" t="s">
        <v>418</v>
      </c>
      <c r="E3" s="5" t="s">
        <v>419</v>
      </c>
      <c r="F3" s="5" t="s">
        <v>420</v>
      </c>
      <c r="G3" s="5" t="s">
        <v>422</v>
      </c>
    </row>
    <row r="4" customFormat="false" ht="15" hidden="false" customHeight="false" outlineLevel="0" collapsed="false">
      <c r="A4" s="10" t="s">
        <v>1064</v>
      </c>
      <c r="B4" s="10" t="s">
        <v>601</v>
      </c>
      <c r="C4" s="10" t="n">
        <v>0.65</v>
      </c>
      <c r="D4" s="10" t="n">
        <v>61</v>
      </c>
      <c r="E4" s="10" t="n">
        <v>52</v>
      </c>
      <c r="F4" s="11" t="b">
        <f aca="false">TRUE()</f>
        <v>1</v>
      </c>
      <c r="G4" s="10" t="s">
        <v>1175</v>
      </c>
    </row>
    <row r="5" customFormat="false" ht="15" hidden="false" customHeight="false" outlineLevel="0" collapsed="false">
      <c r="A5" s="10" t="s">
        <v>762</v>
      </c>
      <c r="B5" s="10" t="s">
        <v>601</v>
      </c>
      <c r="C5" s="10" t="n">
        <v>0.8</v>
      </c>
      <c r="D5" s="10" t="n">
        <v>59</v>
      </c>
      <c r="E5" s="10" t="n">
        <v>51</v>
      </c>
      <c r="F5" s="11" t="b">
        <f aca="false">TRUE()</f>
        <v>1</v>
      </c>
      <c r="G5" s="10" t="s">
        <v>1175</v>
      </c>
    </row>
    <row r="6" customFormat="false" ht="15" hidden="false" customHeight="false" outlineLevel="0" collapsed="false">
      <c r="A6" s="10" t="s">
        <v>762</v>
      </c>
      <c r="B6" s="10" t="s">
        <v>586</v>
      </c>
      <c r="C6" s="10" t="n">
        <v>0.3</v>
      </c>
      <c r="D6" s="10" t="n">
        <v>63</v>
      </c>
      <c r="E6" s="10" t="n">
        <v>53</v>
      </c>
      <c r="F6" s="11" t="b">
        <f aca="false">TRUE()</f>
        <v>1</v>
      </c>
      <c r="G6" s="10" t="s">
        <v>1175</v>
      </c>
    </row>
    <row r="7" customFormat="false" ht="15" hidden="false" customHeight="false" outlineLevel="0" collapsed="false">
      <c r="A7" s="10" t="s">
        <v>762</v>
      </c>
      <c r="B7" s="10" t="s">
        <v>571</v>
      </c>
      <c r="C7" s="10" t="n">
        <v>0</v>
      </c>
      <c r="D7" s="10" t="n">
        <v>98</v>
      </c>
      <c r="E7" s="10" t="n">
        <v>64</v>
      </c>
      <c r="F7" s="11" t="b">
        <f aca="false">FALSE()</f>
        <v>0</v>
      </c>
      <c r="G7" s="10" t="s">
        <v>1175</v>
      </c>
    </row>
    <row r="8" customFormat="false" ht="15" hidden="false" customHeight="false" outlineLevel="0" collapsed="false">
      <c r="A8" s="10" t="s">
        <v>1069</v>
      </c>
      <c r="B8" s="10" t="s">
        <v>571</v>
      </c>
      <c r="C8" s="10" t="n">
        <v>0</v>
      </c>
      <c r="D8" s="10" t="n">
        <v>101</v>
      </c>
      <c r="E8" s="10" t="n">
        <v>66</v>
      </c>
      <c r="F8" s="11" t="b">
        <f aca="false">FALSE()</f>
        <v>0</v>
      </c>
      <c r="G8" s="10" t="s">
        <v>1175</v>
      </c>
    </row>
    <row r="9" customFormat="false" ht="15" hidden="false" customHeight="false" outlineLevel="0" collapsed="false">
      <c r="A9" s="10" t="s">
        <v>1075</v>
      </c>
      <c r="B9" s="10" t="s">
        <v>601</v>
      </c>
      <c r="C9" s="10" t="n">
        <v>0.9</v>
      </c>
      <c r="D9" s="10" t="n">
        <v>60</v>
      </c>
      <c r="E9" s="10" t="n">
        <v>50</v>
      </c>
      <c r="F9" s="11" t="b">
        <f aca="false">TRUE()</f>
        <v>1</v>
      </c>
      <c r="G9" s="10" t="s">
        <v>1176</v>
      </c>
    </row>
    <row r="10" customFormat="false" ht="15" hidden="false" customHeight="false" outlineLevel="0" collapsed="false">
      <c r="A10" s="10" t="s">
        <v>1073</v>
      </c>
      <c r="B10" s="10" t="s">
        <v>601</v>
      </c>
      <c r="C10" s="10" t="n">
        <v>1.2</v>
      </c>
      <c r="D10" s="10" t="n">
        <v>58</v>
      </c>
      <c r="E10" s="10" t="n">
        <v>49</v>
      </c>
      <c r="F10" s="11" t="b">
        <f aca="false">TRUE()</f>
        <v>1</v>
      </c>
      <c r="G10" s="10" t="s">
        <v>1176</v>
      </c>
    </row>
    <row r="11" customFormat="false" ht="15" hidden="false" customHeight="false" outlineLevel="0" collapsed="false">
      <c r="A11" s="10" t="s">
        <v>1073</v>
      </c>
      <c r="B11" s="10" t="s">
        <v>582</v>
      </c>
      <c r="C11" s="10" t="n">
        <v>0.4</v>
      </c>
      <c r="D11" s="10" t="n">
        <v>72</v>
      </c>
      <c r="E11" s="10" t="n">
        <v>55</v>
      </c>
      <c r="F11" s="11" t="b">
        <f aca="false">TRUE()</f>
        <v>1</v>
      </c>
      <c r="G11" s="10" t="s">
        <v>1176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9E9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4"/>
    <col collapsed="false" customWidth="true" hidden="false" outlineLevel="0" max="4" min="4" style="0" width="16"/>
    <col collapsed="false" customWidth="true" hidden="false" outlineLevel="0" max="5" min="5" style="0" width="18"/>
  </cols>
  <sheetData>
    <row r="1" customFormat="false" ht="15" hidden="false" customHeight="false" outlineLevel="0" collapsed="false">
      <c r="A1" s="8" t="s">
        <v>1177</v>
      </c>
    </row>
    <row r="2" customFormat="false" ht="15" hidden="false" customHeight="false" outlineLevel="0" collapsed="false">
      <c r="A2" s="9" t="s">
        <v>1178</v>
      </c>
    </row>
    <row r="3" customFormat="false" ht="15" hidden="false" customHeight="false" outlineLevel="0" collapsed="false">
      <c r="A3" s="5" t="s">
        <v>425</v>
      </c>
      <c r="B3" s="5" t="s">
        <v>97</v>
      </c>
      <c r="C3" s="5" t="s">
        <v>427</v>
      </c>
      <c r="D3" s="5" t="s">
        <v>428</v>
      </c>
      <c r="E3" s="5" t="s">
        <v>429</v>
      </c>
    </row>
    <row r="4" customFormat="false" ht="15" hidden="false" customHeight="false" outlineLevel="0" collapsed="false">
      <c r="A4" s="10" t="s">
        <v>1064</v>
      </c>
      <c r="B4" s="10" t="s">
        <v>565</v>
      </c>
      <c r="C4" s="10" t="n">
        <v>412</v>
      </c>
      <c r="D4" s="10" t="n">
        <v>118</v>
      </c>
      <c r="E4" s="10" t="n">
        <f aca="false">D4/C4</f>
        <v>0.286407766990291</v>
      </c>
    </row>
    <row r="5" customFormat="false" ht="15" hidden="false" customHeight="false" outlineLevel="0" collapsed="false">
      <c r="A5" s="10" t="s">
        <v>1064</v>
      </c>
      <c r="B5" s="10" t="s">
        <v>597</v>
      </c>
      <c r="C5" s="10" t="n">
        <v>386</v>
      </c>
      <c r="D5" s="10" t="n">
        <v>131</v>
      </c>
      <c r="E5" s="10" t="n">
        <f aca="false">D5/C5</f>
        <v>0.339378238341969</v>
      </c>
    </row>
    <row r="6" customFormat="false" ht="15" hidden="false" customHeight="false" outlineLevel="0" collapsed="false">
      <c r="A6" s="10" t="s">
        <v>762</v>
      </c>
      <c r="B6" s="10" t="s">
        <v>597</v>
      </c>
      <c r="C6" s="10" t="n">
        <v>455</v>
      </c>
      <c r="D6" s="10" t="n">
        <v>167</v>
      </c>
      <c r="E6" s="10" t="n">
        <f aca="false">D6/C6</f>
        <v>0.367032967032967</v>
      </c>
    </row>
    <row r="7" customFormat="false" ht="15" hidden="false" customHeight="false" outlineLevel="0" collapsed="false">
      <c r="A7" s="10" t="s">
        <v>762</v>
      </c>
      <c r="B7" s="10" t="s">
        <v>565</v>
      </c>
      <c r="C7" s="10" t="n">
        <v>398</v>
      </c>
      <c r="D7" s="10" t="n">
        <v>109</v>
      </c>
      <c r="E7" s="10" t="n">
        <f aca="false">D7/C7</f>
        <v>0.273869346733668</v>
      </c>
    </row>
    <row r="8" customFormat="false" ht="15" hidden="false" customHeight="false" outlineLevel="0" collapsed="false">
      <c r="A8" s="10" t="s">
        <v>1065</v>
      </c>
      <c r="B8" s="10" t="s">
        <v>584</v>
      </c>
      <c r="C8" s="10" t="n">
        <v>301</v>
      </c>
      <c r="D8" s="10" t="n">
        <v>84</v>
      </c>
      <c r="E8" s="10" t="n">
        <f aca="false">D8/C8</f>
        <v>0.27906976744186</v>
      </c>
    </row>
    <row r="9" customFormat="false" ht="15" hidden="false" customHeight="false" outlineLevel="0" collapsed="false">
      <c r="A9" s="10" t="s">
        <v>1066</v>
      </c>
      <c r="B9" s="10" t="s">
        <v>591</v>
      </c>
      <c r="C9" s="10" t="n">
        <v>367</v>
      </c>
      <c r="D9" s="10" t="n">
        <v>96</v>
      </c>
      <c r="E9" s="10" t="n">
        <f aca="false">D9/C9</f>
        <v>0.26158038147139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4DB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3" min="2" style="0" width="12"/>
    <col collapsed="false" customWidth="true" hidden="false" outlineLevel="0" max="4" min="4" style="0" width="18"/>
    <col collapsed="false" customWidth="true" hidden="false" outlineLevel="0" max="5" min="5" style="0" width="21"/>
    <col collapsed="false" customWidth="true" hidden="false" outlineLevel="0" max="6" min="6" style="0" width="17"/>
    <col collapsed="false" customWidth="true" hidden="false" outlineLevel="0" max="7" min="7" style="0" width="21"/>
  </cols>
  <sheetData>
    <row r="1" customFormat="false" ht="15" hidden="false" customHeight="false" outlineLevel="0" collapsed="false">
      <c r="A1" s="8" t="s">
        <v>1179</v>
      </c>
    </row>
    <row r="2" customFormat="false" ht="15" hidden="false" customHeight="false" outlineLevel="0" collapsed="false">
      <c r="A2" s="9" t="s">
        <v>1180</v>
      </c>
    </row>
    <row r="3" customFormat="false" ht="15" hidden="false" customHeight="false" outlineLevel="0" collapsed="false">
      <c r="A3" s="5" t="s">
        <v>432</v>
      </c>
      <c r="B3" s="5" t="s">
        <v>97</v>
      </c>
      <c r="C3" s="5" t="s">
        <v>228</v>
      </c>
      <c r="D3" s="5" t="s">
        <v>435</v>
      </c>
      <c r="E3" s="5" t="s">
        <v>436</v>
      </c>
      <c r="F3" s="5" t="s">
        <v>438</v>
      </c>
      <c r="G3" s="5" t="s">
        <v>439</v>
      </c>
    </row>
    <row r="4" customFormat="false" ht="15" hidden="false" customHeight="false" outlineLevel="0" collapsed="false">
      <c r="A4" s="10" t="s">
        <v>1069</v>
      </c>
      <c r="B4" s="10" t="s">
        <v>565</v>
      </c>
      <c r="C4" s="10" t="s">
        <v>882</v>
      </c>
      <c r="D4" s="10" t="n">
        <v>5.2</v>
      </c>
      <c r="E4" s="10" t="n">
        <v>0</v>
      </c>
      <c r="F4" s="10" t="s">
        <v>1181</v>
      </c>
      <c r="G4" s="10" t="n">
        <v>0.18</v>
      </c>
    </row>
    <row r="5" customFormat="false" ht="15" hidden="false" customHeight="false" outlineLevel="0" collapsed="false">
      <c r="A5" s="10" t="s">
        <v>1069</v>
      </c>
      <c r="B5" s="10" t="s">
        <v>565</v>
      </c>
      <c r="C5" s="10" t="s">
        <v>906</v>
      </c>
      <c r="D5" s="10" t="n">
        <v>1.4</v>
      </c>
      <c r="E5" s="10" t="n">
        <v>0.1</v>
      </c>
      <c r="F5" s="10" t="s">
        <v>1181</v>
      </c>
      <c r="G5" s="10" t="n">
        <v>0.24</v>
      </c>
    </row>
    <row r="6" customFormat="false" ht="15" hidden="false" customHeight="false" outlineLevel="0" collapsed="false">
      <c r="A6" s="10" t="s">
        <v>1069</v>
      </c>
      <c r="B6" s="10" t="s">
        <v>597</v>
      </c>
      <c r="C6" s="10" t="s">
        <v>933</v>
      </c>
      <c r="D6" s="10" t="n">
        <v>6.8</v>
      </c>
      <c r="E6" s="10" t="n">
        <v>2.4</v>
      </c>
      <c r="F6" s="10" t="s">
        <v>1181</v>
      </c>
      <c r="G6" s="10" t="n">
        <v>0.21</v>
      </c>
    </row>
    <row r="7" customFormat="false" ht="15" hidden="false" customHeight="false" outlineLevel="0" collapsed="false">
      <c r="A7" s="10" t="s">
        <v>1069</v>
      </c>
      <c r="B7" s="10" t="s">
        <v>597</v>
      </c>
      <c r="C7" s="10" t="s">
        <v>912</v>
      </c>
      <c r="D7" s="10" t="n">
        <v>2.1</v>
      </c>
      <c r="E7" s="10" t="n">
        <v>0.4</v>
      </c>
      <c r="F7" s="10" t="s">
        <v>1181</v>
      </c>
      <c r="G7" s="10" t="n">
        <v>0.26</v>
      </c>
    </row>
    <row r="8" customFormat="false" ht="15" hidden="false" customHeight="false" outlineLevel="0" collapsed="false">
      <c r="A8" s="10" t="s">
        <v>736</v>
      </c>
      <c r="B8" s="10" t="s">
        <v>597</v>
      </c>
      <c r="C8" s="10" t="s">
        <v>933</v>
      </c>
      <c r="D8" s="10" t="n">
        <v>8.9</v>
      </c>
      <c r="E8" s="10" t="n">
        <v>3.6</v>
      </c>
      <c r="F8" s="10" t="s">
        <v>1181</v>
      </c>
      <c r="G8" s="10" t="n">
        <v>0.21</v>
      </c>
    </row>
    <row r="9" customFormat="false" ht="15" hidden="false" customHeight="false" outlineLevel="0" collapsed="false">
      <c r="A9" s="10" t="s">
        <v>736</v>
      </c>
      <c r="B9" s="10" t="s">
        <v>565</v>
      </c>
      <c r="C9" s="10" t="s">
        <v>882</v>
      </c>
      <c r="D9" s="10" t="n">
        <v>5</v>
      </c>
      <c r="E9" s="10" t="n">
        <v>0</v>
      </c>
      <c r="F9" s="10" t="s">
        <v>1181</v>
      </c>
      <c r="G9" s="10" t="n">
        <v>0.18</v>
      </c>
    </row>
    <row r="10" customFormat="false" ht="15" hidden="false" customHeight="false" outlineLevel="0" collapsed="false">
      <c r="A10" s="10" t="s">
        <v>736</v>
      </c>
      <c r="B10" s="10" t="s">
        <v>580</v>
      </c>
      <c r="C10" s="10" t="s">
        <v>933</v>
      </c>
      <c r="D10" s="10" t="n">
        <v>2.2</v>
      </c>
      <c r="E10" s="10" t="n">
        <v>0.9</v>
      </c>
      <c r="F10" s="10" t="s">
        <v>1181</v>
      </c>
      <c r="G10" s="10"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4DB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7"/>
    <col collapsed="false" customWidth="true" hidden="false" outlineLevel="0" max="2" min="2" style="0" width="16"/>
    <col collapsed="false" customWidth="true" hidden="false" outlineLevel="0" max="4" min="3" style="0" width="12"/>
    <col collapsed="false" customWidth="true" hidden="false" outlineLevel="0" max="5" min="5" style="0" width="15"/>
    <col collapsed="false" customWidth="true" hidden="false" outlineLevel="0" max="6" min="6" style="0" width="17"/>
    <col collapsed="false" customWidth="true" hidden="false" outlineLevel="0" max="7" min="7" style="0" width="22"/>
    <col collapsed="false" customWidth="true" hidden="false" outlineLevel="0" max="8" min="8" style="0" width="55"/>
    <col collapsed="false" customWidth="true" hidden="false" outlineLevel="0" max="9" min="9" style="0" width="50"/>
    <col collapsed="false" customWidth="true" hidden="false" outlineLevel="0" max="10" min="10" style="0" width="12"/>
  </cols>
  <sheetData>
    <row r="1" customFormat="false" ht="15" hidden="false" customHeight="false" outlineLevel="0" collapsed="false">
      <c r="A1" s="8" t="s">
        <v>1182</v>
      </c>
    </row>
    <row r="2" customFormat="false" ht="15" hidden="false" customHeight="false" outlineLevel="0" collapsed="false">
      <c r="A2" s="9" t="s">
        <v>1183</v>
      </c>
    </row>
    <row r="3" customFormat="false" ht="15" hidden="false" customHeight="false" outlineLevel="0" collapsed="false">
      <c r="A3" s="5" t="s">
        <v>442</v>
      </c>
      <c r="B3" s="5" t="s">
        <v>402</v>
      </c>
      <c r="C3" s="5" t="s">
        <v>97</v>
      </c>
      <c r="D3" s="5" t="s">
        <v>228</v>
      </c>
      <c r="E3" s="5" t="s">
        <v>444</v>
      </c>
      <c r="F3" s="5" t="s">
        <v>446</v>
      </c>
      <c r="G3" s="5" t="s">
        <v>320</v>
      </c>
      <c r="H3" s="5" t="s">
        <v>399</v>
      </c>
      <c r="I3" s="5" t="s">
        <v>447</v>
      </c>
      <c r="J3" s="5" t="s">
        <v>120</v>
      </c>
    </row>
    <row r="4" customFormat="false" ht="15" hidden="false" customHeight="false" outlineLevel="0" collapsed="false">
      <c r="A4" s="10" t="s">
        <v>1184</v>
      </c>
      <c r="B4" s="10" t="s">
        <v>1069</v>
      </c>
      <c r="C4" s="10" t="s">
        <v>565</v>
      </c>
      <c r="D4" s="10" t="s">
        <v>882</v>
      </c>
      <c r="E4" s="10" t="s">
        <v>1185</v>
      </c>
      <c r="F4" s="10" t="n">
        <v>12</v>
      </c>
      <c r="G4" s="10" t="s">
        <v>1071</v>
      </c>
      <c r="H4" s="10" t="s">
        <v>1186</v>
      </c>
      <c r="I4" s="10" t="s">
        <v>1187</v>
      </c>
      <c r="J4" s="10" t="s">
        <v>1158</v>
      </c>
    </row>
    <row r="5" customFormat="false" ht="15" hidden="false" customHeight="false" outlineLevel="0" collapsed="false">
      <c r="A5" s="10" t="s">
        <v>1188</v>
      </c>
      <c r="B5" s="10" t="s">
        <v>1069</v>
      </c>
      <c r="C5" s="10" t="s">
        <v>565</v>
      </c>
      <c r="D5" s="10" t="s">
        <v>906</v>
      </c>
      <c r="E5" s="10" t="s">
        <v>1189</v>
      </c>
      <c r="F5" s="10" t="n">
        <v>4</v>
      </c>
      <c r="G5" s="10" t="s">
        <v>1073</v>
      </c>
      <c r="H5" s="10" t="s">
        <v>1190</v>
      </c>
      <c r="I5" s="10"/>
      <c r="J5" s="10" t="s">
        <v>1160</v>
      </c>
    </row>
    <row r="6" customFormat="false" ht="15" hidden="false" customHeight="false" outlineLevel="0" collapsed="false">
      <c r="A6" s="10" t="s">
        <v>1191</v>
      </c>
      <c r="B6" s="10" t="s">
        <v>1069</v>
      </c>
      <c r="C6" s="10" t="s">
        <v>597</v>
      </c>
      <c r="D6" s="10" t="s">
        <v>933</v>
      </c>
      <c r="E6" s="10" t="s">
        <v>1185</v>
      </c>
      <c r="F6" s="10" t="n">
        <v>12</v>
      </c>
      <c r="G6" s="10" t="s">
        <v>1075</v>
      </c>
      <c r="H6" s="10" t="s">
        <v>1192</v>
      </c>
      <c r="I6" s="10" t="s">
        <v>1193</v>
      </c>
      <c r="J6" s="10" t="s">
        <v>1158</v>
      </c>
    </row>
    <row r="7" customFormat="false" ht="15" hidden="false" customHeight="false" outlineLevel="0" collapsed="false">
      <c r="A7" s="10" t="s">
        <v>1194</v>
      </c>
      <c r="B7" s="10" t="s">
        <v>1069</v>
      </c>
      <c r="C7" s="10" t="s">
        <v>574</v>
      </c>
      <c r="D7" s="10" t="s">
        <v>906</v>
      </c>
      <c r="E7" s="10" t="s">
        <v>1195</v>
      </c>
      <c r="F7" s="10" t="n">
        <v>4</v>
      </c>
      <c r="G7" s="10" t="s">
        <v>1069</v>
      </c>
      <c r="H7" s="10" t="s">
        <v>1196</v>
      </c>
      <c r="I7" s="10" t="s">
        <v>1197</v>
      </c>
      <c r="J7" s="10" t="s">
        <v>1160</v>
      </c>
    </row>
    <row r="8" customFormat="false" ht="15" hidden="false" customHeight="false" outlineLevel="0" collapsed="false">
      <c r="A8" s="10" t="s">
        <v>1198</v>
      </c>
      <c r="B8" s="10" t="s">
        <v>1069</v>
      </c>
      <c r="C8" s="10" t="s">
        <v>603</v>
      </c>
      <c r="D8" s="10" t="s">
        <v>882</v>
      </c>
      <c r="E8" s="10" t="s">
        <v>1199</v>
      </c>
      <c r="F8" s="10" t="n">
        <v>0</v>
      </c>
      <c r="G8" s="10" t="s">
        <v>1076</v>
      </c>
      <c r="H8" s="10" t="s">
        <v>1200</v>
      </c>
      <c r="I8" s="10"/>
      <c r="J8" s="10" t="s">
        <v>1160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4DB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3" min="1" style="0" width="12"/>
    <col collapsed="false" customWidth="true" hidden="false" outlineLevel="0" max="4" min="4" style="0" width="14"/>
    <col collapsed="false" customWidth="true" hidden="false" outlineLevel="0" max="6" min="5" style="0" width="12"/>
    <col collapsed="false" customWidth="true" hidden="false" outlineLevel="0" max="9" min="7" style="0" width="18"/>
    <col collapsed="false" customWidth="true" hidden="false" outlineLevel="0" max="10" min="10" style="0" width="14"/>
  </cols>
  <sheetData>
    <row r="1" customFormat="false" ht="15" hidden="false" customHeight="false" outlineLevel="0" collapsed="false">
      <c r="A1" s="8" t="s">
        <v>1201</v>
      </c>
    </row>
    <row r="2" customFormat="false" ht="15" hidden="false" customHeight="false" outlineLevel="0" collapsed="false">
      <c r="A2" s="9" t="s">
        <v>1202</v>
      </c>
    </row>
    <row r="3" customFormat="false" ht="15" hidden="false" customHeight="false" outlineLevel="0" collapsed="false">
      <c r="A3" s="5" t="s">
        <v>450</v>
      </c>
      <c r="B3" s="5" t="s">
        <v>97</v>
      </c>
      <c r="C3" s="5" t="s">
        <v>228</v>
      </c>
      <c r="D3" s="5" t="s">
        <v>452</v>
      </c>
      <c r="E3" s="5" t="s">
        <v>453</v>
      </c>
      <c r="F3" s="5" t="s">
        <v>455</v>
      </c>
      <c r="G3" s="5" t="s">
        <v>456</v>
      </c>
      <c r="H3" s="5" t="s">
        <v>457</v>
      </c>
      <c r="I3" s="5" t="s">
        <v>458</v>
      </c>
      <c r="J3" s="5" t="s">
        <v>460</v>
      </c>
    </row>
    <row r="4" customFormat="false" ht="15" hidden="false" customHeight="false" outlineLevel="0" collapsed="false">
      <c r="A4" s="10" t="s">
        <v>1203</v>
      </c>
      <c r="B4" s="10" t="s">
        <v>574</v>
      </c>
      <c r="C4" s="10" t="s">
        <v>906</v>
      </c>
      <c r="D4" s="10" t="s">
        <v>1063</v>
      </c>
      <c r="E4" s="10"/>
      <c r="F4" s="10" t="n">
        <v>8</v>
      </c>
      <c r="G4" s="10" t="n">
        <v>2.9</v>
      </c>
      <c r="H4" s="10" t="n">
        <v>492.97</v>
      </c>
      <c r="I4" s="11" t="b">
        <f aca="false">TRUE()</f>
        <v>1</v>
      </c>
      <c r="J4" s="10" t="s">
        <v>1204</v>
      </c>
    </row>
    <row r="5" customFormat="false" ht="15" hidden="false" customHeight="false" outlineLevel="0" collapsed="false">
      <c r="A5" s="10" t="s">
        <v>1205</v>
      </c>
      <c r="B5" s="10" t="s">
        <v>565</v>
      </c>
      <c r="C5" s="10" t="s">
        <v>882</v>
      </c>
      <c r="D5" s="10" t="s">
        <v>1206</v>
      </c>
      <c r="E5" s="10" t="s">
        <v>756</v>
      </c>
      <c r="F5" s="10" t="n">
        <v>4</v>
      </c>
      <c r="G5" s="10" t="n">
        <v>2.8</v>
      </c>
      <c r="H5" s="10" t="n">
        <v>55.97</v>
      </c>
      <c r="I5" s="11" t="b">
        <f aca="false">TRUE()</f>
        <v>1</v>
      </c>
      <c r="J5" s="10" t="s">
        <v>1207</v>
      </c>
    </row>
    <row r="6" customFormat="false" ht="15" hidden="false" customHeight="false" outlineLevel="0" collapsed="false">
      <c r="A6" s="10" t="s">
        <v>1208</v>
      </c>
      <c r="B6" s="10" t="s">
        <v>597</v>
      </c>
      <c r="C6" s="10" t="s">
        <v>933</v>
      </c>
      <c r="D6" s="10" t="s">
        <v>742</v>
      </c>
      <c r="E6" s="10" t="s">
        <v>1093</v>
      </c>
      <c r="F6" s="10" t="n">
        <v>4</v>
      </c>
      <c r="G6" s="10" t="n">
        <v>3.4</v>
      </c>
      <c r="H6" s="10" t="n">
        <v>203.97</v>
      </c>
      <c r="I6" s="11" t="b">
        <f aca="false">FALSE()</f>
        <v>0</v>
      </c>
      <c r="J6" s="10" t="s">
        <v>1209</v>
      </c>
    </row>
    <row r="7" customFormat="false" ht="15" hidden="false" customHeight="false" outlineLevel="0" collapsed="false">
      <c r="A7" s="10" t="s">
        <v>1210</v>
      </c>
      <c r="B7" s="10" t="s">
        <v>574</v>
      </c>
      <c r="C7" s="10" t="s">
        <v>882</v>
      </c>
      <c r="D7" s="10" t="s">
        <v>1109</v>
      </c>
      <c r="E7" s="10" t="s">
        <v>762</v>
      </c>
      <c r="F7" s="10" t="n">
        <v>3</v>
      </c>
      <c r="G7" s="10" t="n">
        <v>1.7</v>
      </c>
      <c r="H7" s="10" t="n">
        <v>33.98</v>
      </c>
      <c r="I7" s="11" t="b">
        <f aca="false">TRUE()</f>
        <v>1</v>
      </c>
      <c r="J7" s="10" t="s">
        <v>1211</v>
      </c>
    </row>
    <row r="8" customFormat="false" ht="15" hidden="false" customHeight="false" outlineLevel="0" collapsed="false">
      <c r="A8" s="10" t="s">
        <v>1212</v>
      </c>
      <c r="B8" s="10" t="s">
        <v>591</v>
      </c>
      <c r="C8" s="10" t="s">
        <v>922</v>
      </c>
      <c r="D8" s="10" t="s">
        <v>1213</v>
      </c>
      <c r="E8" s="10" t="s">
        <v>1214</v>
      </c>
      <c r="F8" s="10" t="n">
        <v>9</v>
      </c>
      <c r="G8" s="10" t="n">
        <v>3.1</v>
      </c>
      <c r="H8" s="10" t="n">
        <v>92.97</v>
      </c>
      <c r="I8" s="11" t="b">
        <f aca="false">FALSE()</f>
        <v>0</v>
      </c>
      <c r="J8" s="10" t="s">
        <v>1207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3"/>
    <col collapsed="false" customWidth="true" hidden="false" outlineLevel="0" max="4" min="4" style="0" width="37"/>
    <col collapsed="false" customWidth="true" hidden="false" outlineLevel="0" max="5" min="5" style="0" width="17"/>
    <col collapsed="false" customWidth="true" hidden="false" outlineLevel="0" max="6" min="6" style="0" width="18"/>
    <col collapsed="false" customWidth="true" hidden="false" outlineLevel="0" max="7" min="7" style="0" width="15"/>
    <col collapsed="false" customWidth="true" hidden="false" outlineLevel="0" max="8" min="8" style="0" width="19"/>
    <col collapsed="false" customWidth="true" hidden="false" outlineLevel="0" max="9" min="9" style="0" width="24"/>
    <col collapsed="false" customWidth="true" hidden="false" outlineLevel="0" max="10" min="10" style="0" width="12"/>
  </cols>
  <sheetData>
    <row r="1" customFormat="false" ht="15" hidden="false" customHeight="false" outlineLevel="0" collapsed="false">
      <c r="A1" s="8" t="s">
        <v>1215</v>
      </c>
    </row>
    <row r="2" customFormat="false" ht="15" hidden="false" customHeight="false" outlineLevel="0" collapsed="false">
      <c r="A2" s="9" t="s">
        <v>1216</v>
      </c>
    </row>
    <row r="3" customFormat="false" ht="15" hidden="false" customHeight="false" outlineLevel="0" collapsed="false">
      <c r="A3" s="5" t="s">
        <v>450</v>
      </c>
      <c r="B3" s="5" t="s">
        <v>464</v>
      </c>
      <c r="C3" s="5" t="s">
        <v>123</v>
      </c>
      <c r="D3" s="5" t="s">
        <v>292</v>
      </c>
      <c r="E3" s="5" t="s">
        <v>466</v>
      </c>
      <c r="F3" s="5" t="s">
        <v>283</v>
      </c>
      <c r="G3" s="5" t="s">
        <v>467</v>
      </c>
      <c r="H3" s="5" t="s">
        <v>468</v>
      </c>
      <c r="I3" s="5" t="s">
        <v>469</v>
      </c>
      <c r="J3" s="5" t="s">
        <v>470</v>
      </c>
    </row>
    <row r="4" customFormat="false" ht="15" hidden="false" customHeight="false" outlineLevel="0" collapsed="false">
      <c r="A4" s="10" t="s">
        <v>1217</v>
      </c>
      <c r="B4" s="10" t="s">
        <v>1218</v>
      </c>
      <c r="C4" s="10" t="s">
        <v>616</v>
      </c>
      <c r="D4" s="10" t="s">
        <v>1219</v>
      </c>
      <c r="E4" s="10" t="n">
        <v>148</v>
      </c>
      <c r="F4" s="10" t="s">
        <v>1030</v>
      </c>
      <c r="G4" s="11" t="b">
        <f aca="false">TRUE()</f>
        <v>1</v>
      </c>
      <c r="H4" s="11" t="b">
        <f aca="false">TRUE()</f>
        <v>1</v>
      </c>
      <c r="I4" s="11" t="b">
        <f aca="false">TRUE()</f>
        <v>1</v>
      </c>
      <c r="J4" s="10" t="s">
        <v>1220</v>
      </c>
    </row>
    <row r="5" customFormat="false" ht="15" hidden="false" customHeight="false" outlineLevel="0" collapsed="false">
      <c r="A5" s="10" t="s">
        <v>1221</v>
      </c>
      <c r="B5" s="10" t="s">
        <v>1032</v>
      </c>
      <c r="C5" s="10"/>
      <c r="D5" s="10" t="s">
        <v>1222</v>
      </c>
      <c r="E5" s="10" t="n">
        <v>36</v>
      </c>
      <c r="F5" s="10" t="s">
        <v>756</v>
      </c>
      <c r="G5" s="11" t="b">
        <f aca="false">TRUE()</f>
        <v>1</v>
      </c>
      <c r="H5" s="11" t="b">
        <f aca="false">TRUE()</f>
        <v>1</v>
      </c>
      <c r="I5" s="11" t="b">
        <f aca="false">TRUE()</f>
        <v>1</v>
      </c>
      <c r="J5" s="10" t="s">
        <v>1223</v>
      </c>
    </row>
    <row r="6" customFormat="false" ht="15" hidden="false" customHeight="false" outlineLevel="0" collapsed="false">
      <c r="A6" s="10" t="s">
        <v>1224</v>
      </c>
      <c r="B6" s="10" t="s">
        <v>1218</v>
      </c>
      <c r="C6" s="10" t="s">
        <v>635</v>
      </c>
      <c r="D6" s="10" t="s">
        <v>1225</v>
      </c>
      <c r="E6" s="10" t="n">
        <v>62</v>
      </c>
      <c r="F6" s="10" t="s">
        <v>1124</v>
      </c>
      <c r="G6" s="11" t="b">
        <f aca="false">FALSE()</f>
        <v>0</v>
      </c>
      <c r="H6" s="11" t="b">
        <f aca="false">FALSE()</f>
        <v>0</v>
      </c>
      <c r="I6" s="11" t="b">
        <f aca="false">FALSE()</f>
        <v>0</v>
      </c>
      <c r="J6" s="10" t="s">
        <v>1226</v>
      </c>
    </row>
    <row r="7" customFormat="false" ht="15" hidden="false" customHeight="false" outlineLevel="0" collapsed="false">
      <c r="A7" s="10" t="s">
        <v>1227</v>
      </c>
      <c r="B7" s="10" t="s">
        <v>1228</v>
      </c>
      <c r="C7" s="10" t="s">
        <v>623</v>
      </c>
      <c r="D7" s="10" t="s">
        <v>1229</v>
      </c>
      <c r="E7" s="10" t="n">
        <v>12</v>
      </c>
      <c r="F7" s="10" t="s">
        <v>743</v>
      </c>
      <c r="G7" s="11" t="b">
        <f aca="false">TRUE()</f>
        <v>1</v>
      </c>
      <c r="H7" s="11" t="b">
        <f aca="false">TRUE()</f>
        <v>1</v>
      </c>
      <c r="I7" s="11" t="b">
        <f aca="false">TRUE()</f>
        <v>1</v>
      </c>
      <c r="J7" s="10" t="s">
        <v>1230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17"/>
    <col collapsed="false" customWidth="true" hidden="false" outlineLevel="0" max="5" min="5" style="0" width="55"/>
    <col collapsed="false" customWidth="true" hidden="false" outlineLevel="0" max="7" min="6" style="0" width="12"/>
    <col collapsed="false" customWidth="true" hidden="false" outlineLevel="0" max="9" min="8" style="0" width="16"/>
  </cols>
  <sheetData>
    <row r="1" customFormat="false" ht="15" hidden="false" customHeight="false" outlineLevel="0" collapsed="false">
      <c r="A1" s="8" t="s">
        <v>1231</v>
      </c>
    </row>
    <row r="2" customFormat="false" ht="15" hidden="false" customHeight="false" outlineLevel="0" collapsed="false">
      <c r="A2" s="9" t="s">
        <v>1232</v>
      </c>
    </row>
    <row r="3" customFormat="false" ht="15" hidden="false" customHeight="false" outlineLevel="0" collapsed="false">
      <c r="A3" s="5" t="s">
        <v>473</v>
      </c>
      <c r="B3" s="5" t="s">
        <v>97</v>
      </c>
      <c r="C3" s="5" t="s">
        <v>475</v>
      </c>
      <c r="D3" s="5" t="s">
        <v>477</v>
      </c>
      <c r="E3" s="5" t="s">
        <v>479</v>
      </c>
      <c r="F3" s="5" t="s">
        <v>369</v>
      </c>
      <c r="G3" s="5" t="s">
        <v>120</v>
      </c>
      <c r="H3" s="5" t="s">
        <v>481</v>
      </c>
      <c r="I3" s="5" t="s">
        <v>482</v>
      </c>
    </row>
    <row r="4" customFormat="false" ht="15" hidden="false" customHeight="false" outlineLevel="0" collapsed="false">
      <c r="A4" s="10" t="s">
        <v>1233</v>
      </c>
      <c r="B4" s="10" t="s">
        <v>565</v>
      </c>
      <c r="C4" s="10" t="s">
        <v>1234</v>
      </c>
      <c r="D4" s="10" t="s">
        <v>1217</v>
      </c>
      <c r="E4" s="10" t="s">
        <v>1235</v>
      </c>
      <c r="F4" s="10" t="s">
        <v>726</v>
      </c>
      <c r="G4" s="10" t="s">
        <v>745</v>
      </c>
      <c r="H4" s="10"/>
      <c r="I4" s="10"/>
    </row>
    <row r="5" customFormat="false" ht="15" hidden="false" customHeight="false" outlineLevel="0" collapsed="false">
      <c r="A5" s="10" t="s">
        <v>1236</v>
      </c>
      <c r="B5" s="10" t="s">
        <v>574</v>
      </c>
      <c r="C5" s="10" t="s">
        <v>1234</v>
      </c>
      <c r="D5" s="10" t="s">
        <v>1217</v>
      </c>
      <c r="E5" s="10" t="s">
        <v>1237</v>
      </c>
      <c r="F5" s="10" t="s">
        <v>726</v>
      </c>
      <c r="G5" s="10" t="s">
        <v>745</v>
      </c>
      <c r="H5" s="10"/>
      <c r="I5" s="10"/>
    </row>
    <row r="6" customFormat="false" ht="15" hidden="false" customHeight="false" outlineLevel="0" collapsed="false">
      <c r="A6" s="10" t="s">
        <v>1238</v>
      </c>
      <c r="B6" s="10" t="s">
        <v>597</v>
      </c>
      <c r="C6" s="10" t="s">
        <v>1239</v>
      </c>
      <c r="D6" s="10" t="s">
        <v>1221</v>
      </c>
      <c r="E6" s="10" t="s">
        <v>1240</v>
      </c>
      <c r="F6" s="10" t="s">
        <v>756</v>
      </c>
      <c r="G6" s="10" t="s">
        <v>1241</v>
      </c>
      <c r="H6" s="10" t="s">
        <v>1242</v>
      </c>
      <c r="I6" s="10" t="s">
        <v>756</v>
      </c>
    </row>
    <row r="7" customFormat="false" ht="15" hidden="false" customHeight="false" outlineLevel="0" collapsed="false">
      <c r="A7" s="10" t="s">
        <v>1243</v>
      </c>
      <c r="B7" s="10" t="s">
        <v>574</v>
      </c>
      <c r="C7" s="10" t="s">
        <v>1244</v>
      </c>
      <c r="D7" s="10" t="s">
        <v>1108</v>
      </c>
      <c r="E7" s="10" t="s">
        <v>1245</v>
      </c>
      <c r="F7" s="10" t="s">
        <v>1064</v>
      </c>
      <c r="G7" s="10" t="s">
        <v>1241</v>
      </c>
      <c r="H7" s="10" t="s">
        <v>1110</v>
      </c>
      <c r="I7" s="10" t="s">
        <v>1063</v>
      </c>
    </row>
    <row r="8" customFormat="false" ht="15" hidden="false" customHeight="false" outlineLevel="0" collapsed="false">
      <c r="A8" s="10" t="s">
        <v>1246</v>
      </c>
      <c r="B8" s="10" t="s">
        <v>565</v>
      </c>
      <c r="C8" s="10" t="s">
        <v>1247</v>
      </c>
      <c r="D8" s="10" t="s">
        <v>1157</v>
      </c>
      <c r="E8" s="10" t="s">
        <v>1248</v>
      </c>
      <c r="F8" s="10" t="s">
        <v>1249</v>
      </c>
      <c r="G8" s="10" t="s">
        <v>1250</v>
      </c>
      <c r="H8" s="10"/>
      <c r="I8" s="10"/>
    </row>
    <row r="9" customFormat="false" ht="15" hidden="false" customHeight="false" outlineLevel="0" collapsed="false">
      <c r="A9" s="10" t="s">
        <v>1251</v>
      </c>
      <c r="B9" s="10" t="s">
        <v>591</v>
      </c>
      <c r="C9" s="10" t="s">
        <v>1252</v>
      </c>
      <c r="D9" s="10" t="s">
        <v>1224</v>
      </c>
      <c r="E9" s="10" t="s">
        <v>1253</v>
      </c>
      <c r="F9" s="10" t="s">
        <v>1254</v>
      </c>
      <c r="G9" s="10" t="s">
        <v>745</v>
      </c>
      <c r="H9" s="10"/>
      <c r="I9"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E5B"/>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8"/>
    <col collapsed="false" customWidth="true" hidden="false" outlineLevel="0" max="4" min="4" style="0" width="55"/>
    <col collapsed="false" customWidth="true" hidden="false" outlineLevel="0" max="5" min="5" style="0" width="14"/>
    <col collapsed="false" customWidth="true" hidden="false" outlineLevel="0" max="6" min="6" style="0" width="21"/>
    <col collapsed="false" customWidth="true" hidden="false" outlineLevel="0" max="7" min="7" style="0" width="12"/>
    <col collapsed="false" customWidth="true" hidden="false" outlineLevel="0" max="8" min="8" style="0" width="17"/>
  </cols>
  <sheetData>
    <row r="1" customFormat="false" ht="15" hidden="false" customHeight="false" outlineLevel="0" collapsed="false">
      <c r="A1" s="8" t="s">
        <v>1255</v>
      </c>
    </row>
    <row r="2" customFormat="false" ht="15" hidden="false" customHeight="false" outlineLevel="0" collapsed="false">
      <c r="A2" s="9" t="s">
        <v>1256</v>
      </c>
    </row>
    <row r="3" customFormat="false" ht="15" hidden="false" customHeight="false" outlineLevel="0" collapsed="false">
      <c r="A3" s="5" t="s">
        <v>470</v>
      </c>
      <c r="B3" s="5" t="s">
        <v>485</v>
      </c>
      <c r="C3" s="5" t="s">
        <v>487</v>
      </c>
      <c r="D3" s="5" t="s">
        <v>489</v>
      </c>
      <c r="E3" s="5" t="s">
        <v>490</v>
      </c>
      <c r="F3" s="5" t="s">
        <v>492</v>
      </c>
      <c r="G3" s="5" t="s">
        <v>493</v>
      </c>
      <c r="H3" s="5" t="s">
        <v>477</v>
      </c>
    </row>
    <row r="4" customFormat="false" ht="15" hidden="false" customHeight="false" outlineLevel="0" collapsed="false">
      <c r="A4" s="10" t="s">
        <v>1220</v>
      </c>
      <c r="B4" s="10" t="s">
        <v>1257</v>
      </c>
      <c r="C4" s="10" t="s">
        <v>1258</v>
      </c>
      <c r="D4" s="10" t="s">
        <v>1259</v>
      </c>
      <c r="E4" s="10" t="s">
        <v>1260</v>
      </c>
      <c r="F4" s="10" t="s">
        <v>1261</v>
      </c>
      <c r="G4" s="10" t="s">
        <v>1066</v>
      </c>
      <c r="H4" s="10" t="s">
        <v>1217</v>
      </c>
    </row>
    <row r="5" customFormat="false" ht="15" hidden="false" customHeight="false" outlineLevel="0" collapsed="false">
      <c r="A5" s="10" t="s">
        <v>1223</v>
      </c>
      <c r="B5" s="10" t="s">
        <v>1257</v>
      </c>
      <c r="C5" s="10" t="s">
        <v>1262</v>
      </c>
      <c r="D5" s="10" t="s">
        <v>1263</v>
      </c>
      <c r="E5" s="10" t="s">
        <v>1260</v>
      </c>
      <c r="F5" s="10" t="s">
        <v>1261</v>
      </c>
      <c r="G5" s="10" t="s">
        <v>1264</v>
      </c>
      <c r="H5" s="10" t="s">
        <v>1221</v>
      </c>
    </row>
    <row r="6" customFormat="false" ht="15" hidden="false" customHeight="false" outlineLevel="0" collapsed="false">
      <c r="A6" s="10" t="s">
        <v>1226</v>
      </c>
      <c r="B6" s="10" t="s">
        <v>1265</v>
      </c>
      <c r="C6" s="10" t="s">
        <v>1262</v>
      </c>
      <c r="D6" s="10" t="s">
        <v>1266</v>
      </c>
      <c r="E6" s="10" t="s">
        <v>1260</v>
      </c>
      <c r="F6" s="10"/>
      <c r="G6" s="10"/>
      <c r="H6" s="10" t="s">
        <v>1224</v>
      </c>
    </row>
    <row r="7" customFormat="false" ht="15" hidden="false" customHeight="false" outlineLevel="0" collapsed="false">
      <c r="A7" s="10" t="s">
        <v>1230</v>
      </c>
      <c r="B7" s="10" t="s">
        <v>1267</v>
      </c>
      <c r="C7" s="10" t="s">
        <v>1268</v>
      </c>
      <c r="D7" s="10" t="s">
        <v>1269</v>
      </c>
      <c r="E7" s="10" t="s">
        <v>1260</v>
      </c>
      <c r="F7" s="10" t="s">
        <v>1270</v>
      </c>
      <c r="G7" s="10" t="s">
        <v>762</v>
      </c>
      <c r="H7" s="10" t="s">
        <v>1227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4DB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5"/>
    <col collapsed="false" customWidth="true" hidden="false" outlineLevel="0" max="3" min="3" style="0" width="52"/>
    <col collapsed="false" customWidth="true" hidden="false" outlineLevel="0" max="4" min="4" style="0" width="14"/>
    <col collapsed="false" customWidth="true" hidden="false" outlineLevel="0" max="5" min="5" style="0" width="12"/>
    <col collapsed="false" customWidth="true" hidden="false" outlineLevel="0" max="6" min="6" style="0" width="25"/>
    <col collapsed="false" customWidth="true" hidden="false" outlineLevel="0" max="7" min="7" style="0" width="32"/>
    <col collapsed="false" customWidth="true" hidden="false" outlineLevel="0" max="8" min="8" style="0" width="55"/>
    <col collapsed="false" customWidth="true" hidden="false" outlineLevel="0" max="9" min="9" style="0" width="12"/>
  </cols>
  <sheetData>
    <row r="1" customFormat="false" ht="15" hidden="false" customHeight="false" outlineLevel="0" collapsed="false">
      <c r="A1" s="8" t="s">
        <v>1271</v>
      </c>
    </row>
    <row r="2" customFormat="false" ht="15" hidden="false" customHeight="false" outlineLevel="0" collapsed="false">
      <c r="A2" s="9" t="s">
        <v>1272</v>
      </c>
    </row>
    <row r="3" customFormat="false" ht="15" hidden="false" customHeight="false" outlineLevel="0" collapsed="false">
      <c r="A3" s="5" t="s">
        <v>495</v>
      </c>
      <c r="B3" s="5" t="s">
        <v>497</v>
      </c>
      <c r="C3" s="5" t="s">
        <v>292</v>
      </c>
      <c r="D3" s="5" t="s">
        <v>452</v>
      </c>
      <c r="E3" s="5" t="s">
        <v>453</v>
      </c>
      <c r="F3" s="5" t="s">
        <v>499</v>
      </c>
      <c r="G3" s="5" t="s">
        <v>500</v>
      </c>
      <c r="H3" s="5" t="s">
        <v>501</v>
      </c>
      <c r="I3" s="5" t="s">
        <v>502</v>
      </c>
    </row>
    <row r="4" customFormat="false" ht="15" hidden="false" customHeight="false" outlineLevel="0" collapsed="false">
      <c r="A4" s="10" t="s">
        <v>1273</v>
      </c>
      <c r="B4" s="10" t="s">
        <v>1274</v>
      </c>
      <c r="C4" s="10" t="s">
        <v>1275</v>
      </c>
      <c r="D4" s="10" t="s">
        <v>1276</v>
      </c>
      <c r="E4" s="10" t="s">
        <v>702</v>
      </c>
      <c r="F4" s="10" t="s">
        <v>1277</v>
      </c>
      <c r="G4" s="10" t="s">
        <v>1278</v>
      </c>
      <c r="H4" s="10" t="s">
        <v>1279</v>
      </c>
      <c r="I4" s="10" t="s">
        <v>1280</v>
      </c>
    </row>
    <row r="5" customFormat="false" ht="15" hidden="false" customHeight="false" outlineLevel="0" collapsed="false">
      <c r="A5" s="10" t="s">
        <v>1281</v>
      </c>
      <c r="B5" s="10" t="s">
        <v>1282</v>
      </c>
      <c r="C5" s="10" t="s">
        <v>1283</v>
      </c>
      <c r="D5" s="10" t="s">
        <v>1284</v>
      </c>
      <c r="E5" s="10" t="s">
        <v>749</v>
      </c>
      <c r="F5" s="10" t="s">
        <v>1285</v>
      </c>
      <c r="G5" s="10" t="s">
        <v>1286</v>
      </c>
      <c r="H5" s="10" t="s">
        <v>1287</v>
      </c>
      <c r="I5" s="10" t="s">
        <v>1288</v>
      </c>
    </row>
    <row r="6" customFormat="false" ht="15" hidden="false" customHeight="false" outlineLevel="0" collapsed="false">
      <c r="A6" s="10" t="s">
        <v>1289</v>
      </c>
      <c r="B6" s="10" t="s">
        <v>1290</v>
      </c>
      <c r="C6" s="10" t="s">
        <v>1291</v>
      </c>
      <c r="D6" s="10" t="s">
        <v>1025</v>
      </c>
      <c r="E6" s="10" t="s">
        <v>702</v>
      </c>
      <c r="F6" s="10" t="s">
        <v>1292</v>
      </c>
      <c r="G6" s="10" t="s">
        <v>1293</v>
      </c>
      <c r="H6" s="10" t="s">
        <v>1294</v>
      </c>
      <c r="I6" s="10" t="s">
        <v>1295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2026-07-15T22:34:44Z</dcterms:created>
  <dc:creator>openpyxl</dc:creator>
  <dc:description/>
  <dc:language>en-US</dc:language>
  <cp:lastModifiedBy/>
  <dcterms:modified xsi:type="dcterms:W3CDTF">2026-07-15T22:34:45Z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